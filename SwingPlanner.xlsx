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752" windowHeight="5652" tabRatio="600" firstSheet="0" activeTab="0" autoFilterDateGrouping="1"/>
  </bookViews>
  <sheets>
    <sheet xmlns:r="http://schemas.openxmlformats.org/officeDocument/2006/relationships" name="System" sheetId="1" state="visible" r:id="rId1"/>
    <sheet xmlns:r="http://schemas.openxmlformats.org/officeDocument/2006/relationships" name="Guide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olor rgb="FF000000"/>
      <sz val="10"/>
      <scheme val="minor"/>
    </font>
    <font>
      <name val="Calibri"/>
      <b val="1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0"/>
      <sz val="2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color theme="0"/>
      <sz val="10"/>
      <scheme val="minor"/>
    </font>
  </fonts>
  <fills count="13">
    <fill>
      <patternFill/>
    </fill>
    <fill>
      <patternFill patternType="gray125"/>
    </fill>
    <fill>
      <patternFill patternType="solid">
        <fgColor rgb="FFFF0000"/>
        <bgColor rgb="FF00FF00"/>
      </patternFill>
    </fill>
    <fill>
      <patternFill patternType="solid">
        <fgColor rgb="FFFFC000"/>
        <bgColor rgb="FF4A86E8"/>
      </patternFill>
    </fill>
    <fill>
      <patternFill patternType="solid">
        <fgColor rgb="FF92D050"/>
        <bgColor rgb="FFFF00FF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1" fillId="0" borderId="0"/>
    <xf numFmtId="9" fontId="1" fillId="0" borderId="0"/>
    <xf numFmtId="0" fontId="5" fillId="0" borderId="0"/>
  </cellStyleXfs>
  <cellXfs count="41">
    <xf numFmtId="0" fontId="0" fillId="0" borderId="0" pivotButton="0" quotePrefix="0" xfId="0"/>
    <xf numFmtId="0" fontId="0" fillId="8" borderId="1" pivotButton="0" quotePrefix="0" xfId="0"/>
    <xf numFmtId="0" fontId="0" fillId="7" borderId="1" pivotButton="0" quotePrefix="0" xfId="0"/>
    <xf numFmtId="0" fontId="0" fillId="5" borderId="1" pivotButton="0" quotePrefix="0" xfId="0"/>
    <xf numFmtId="9" fontId="0" fillId="5" borderId="1" pivotButton="0" quotePrefix="0" xfId="1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9" fontId="0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left" vertical="center"/>
    </xf>
    <xf numFmtId="14" fontId="0" fillId="0" borderId="1" pivotButton="0" quotePrefix="0" xfId="0"/>
    <xf numFmtId="2" fontId="0" fillId="0" borderId="1" applyAlignment="1" pivotButton="0" quotePrefix="0" xfId="1">
      <alignment horizontal="center" vertical="center"/>
    </xf>
    <xf numFmtId="0" fontId="6" fillId="2" borderId="1" pivotButton="0" quotePrefix="0" xfId="2"/>
    <xf numFmtId="0" fontId="6" fillId="0" borderId="1" pivotButton="0" quotePrefix="0" xfId="2"/>
    <xf numFmtId="0" fontId="7" fillId="3" borderId="1" pivotButton="0" quotePrefix="0" xfId="2"/>
    <xf numFmtId="0" fontId="7" fillId="0" borderId="1" pivotButton="0" quotePrefix="0" xfId="2"/>
    <xf numFmtId="0" fontId="6" fillId="4" borderId="1" pivotButton="0" quotePrefix="0" xfId="2"/>
    <xf numFmtId="2" fontId="0" fillId="5" borderId="1" pivotButton="0" quotePrefix="0" xfId="0"/>
    <xf numFmtId="0" fontId="3" fillId="0" borderId="5" applyAlignment="1" pivotButton="0" quotePrefix="0" xfId="0">
      <alignment horizontal="center" vertical="center"/>
    </xf>
    <xf numFmtId="0" fontId="9" fillId="12" borderId="0" applyAlignment="1" pivotButton="0" quotePrefix="0" xfId="0">
      <alignment horizontal="center" vertical="center"/>
    </xf>
    <xf numFmtId="0" fontId="4" fillId="12" borderId="0" applyAlignment="1" pivotButton="0" quotePrefix="0" xfId="0">
      <alignment horizontal="center" vertical="center"/>
    </xf>
    <xf numFmtId="0" fontId="10" fillId="12" borderId="1" applyAlignment="1" pivotButton="0" quotePrefix="0" xfId="2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2" applyAlignment="1" pivotButton="0" quotePrefix="0" xfId="0">
      <alignment horizontal="center" vertical="center"/>
    </xf>
    <xf numFmtId="0" fontId="3" fillId="7" borderId="3" applyAlignment="1" pivotButton="0" quotePrefix="0" xfId="0">
      <alignment horizontal="center" vertical="center"/>
    </xf>
    <xf numFmtId="0" fontId="3" fillId="7" borderId="4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9" pivotButton="0" quotePrefix="0" xfId="0"/>
    <xf numFmtId="0" fontId="0" fillId="0" borderId="12" pivotButton="0" quotePrefix="0" xfId="0"/>
    <xf numFmtId="0" fontId="0" fillId="0" borderId="3" pivotButton="0" quotePrefix="0" xfId="0"/>
    <xf numFmtId="0" fontId="0" fillId="0" borderId="4" pivotButton="0" quotePrefix="0" xfId="0"/>
    <xf numFmtId="0" fontId="3" fillId="7" borderId="1" applyAlignment="1" pivotButton="0" quotePrefix="0" xfId="0">
      <alignment horizontal="center" vertical="center"/>
    </xf>
    <xf numFmtId="0" fontId="0" fillId="0" borderId="14" pivotButton="0" quotePrefix="0" xfId="0"/>
  </cellXfs>
  <cellStyles count="3">
    <cellStyle name="Normal" xfId="0" builtinId="0"/>
    <cellStyle name="Percent" xfId="1" builtinId="5"/>
    <cellStyle name="Normal 2" xfId="2"/>
  </cellStyles>
  <dxfs count="19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twoCellAnchor editAs="oneCell">
    <from>
      <col>9</col>
      <colOff>152400</colOff>
      <row>2</row>
      <rowOff>91440</rowOff>
    </from>
    <to>
      <col>19</col>
      <colOff>342900</colOff>
      <row>21</row>
      <rowOff>112395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638800" y="457200"/>
          <a:ext cx="6286500" cy="3495675"/>
        </a:xfrm>
        <a:prstGeom xmlns:a="http://schemas.openxmlformats.org/drawingml/2006/main" prst="rect">
          <avLst/>
        </a:prstGeom>
        <a:ln xmlns:a="http://schemas.openxmlformats.org/drawingml/2006/main" w="38100" cap="sq">
          <a:solidFill>
            <a:srgbClr val="000000"/>
          </a:solidFill>
          <a:prstDash val="solid"/>
          <a:miter lim="800000"/>
        </a:ln>
      </spPr>
    </pic>
    <clientData/>
  </twoCellAnchor>
  <twoCellAnchor editAs="oneCell">
    <from>
      <col>0</col>
      <colOff>365760</colOff>
      <row>22</row>
      <rowOff>74528</rowOff>
    </from>
    <to>
      <col>10</col>
      <colOff>144571</colOff>
      <row>54</row>
      <rowOff>135256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365760" y="4055978"/>
          <a:ext cx="5874811" cy="5851928"/>
        </a:xfrm>
        <a:prstGeom xmlns:a="http://schemas.openxmlformats.org/drawingml/2006/main" prst="rect">
          <avLst/>
        </a:prstGeom>
        <a:ln xmlns:a="http://schemas.openxmlformats.org/drawingml/2006/main" w="38100" cap="sq">
          <a:solidFill>
            <a:srgbClr val="000000"/>
          </a:solidFill>
          <a:prstDash val="solid"/>
          <a:miter lim="800000"/>
        </a:ln>
      </spPr>
    </pic>
    <clientData/>
  </twoCellAnchor>
  <twoCellAnchor>
    <from>
      <col>0</col>
      <colOff>365760</colOff>
      <row>2</row>
      <rowOff>83820</rowOff>
    </from>
    <to>
      <col>9</col>
      <colOff>0</colOff>
      <row>21</row>
      <rowOff>129539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365760" y="449580"/>
          <a:ext cx="5120640" cy="3520439"/>
        </a:xfrm>
        <a:prstGeom xmlns:a="http://schemas.openxmlformats.org/drawingml/2006/main" prst="rect">
          <avLst/>
        </a:prstGeom>
        <a:ln xmlns:a="http://schemas.openxmlformats.org/drawingml/2006/main" w="38100" cap="sq">
          <a:solidFill>
            <a:srgbClr val="000000"/>
          </a:solidFill>
          <a:prstDash val="solid"/>
          <a:miter lim="800000"/>
        </a:ln>
      </spPr>
    </pic>
    <clientData/>
  </twoCellAnchor>
  <twoCellAnchor editAs="oneCell">
    <from>
      <col>10</col>
      <colOff>342900</colOff>
      <row>22</row>
      <rowOff>110090</rowOff>
    </from>
    <to>
      <col>21</col>
      <colOff>447104</colOff>
      <row>40</row>
      <rowOff>160020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6438900" y="4133450"/>
          <a:ext cx="6809804" cy="3341770"/>
        </a:xfrm>
        <a:prstGeom xmlns:a="http://schemas.openxmlformats.org/drawingml/2006/main" prst="rect">
          <avLst/>
        </a:prstGeom>
        <a:ln xmlns:a="http://schemas.openxmlformats.org/drawingml/2006/main" w="38100" cap="sq">
          <a:solidFill>
            <a:srgbClr val="000000"/>
          </a:solidFill>
          <a:prstDash val="solid"/>
          <a:miter lim="800000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9"/>
  <sheetViews>
    <sheetView tabSelected="1" workbookViewId="0">
      <pane xSplit="2" topLeftCell="G19" activePane="topRight" state="frozen"/>
      <selection pane="topRight" activeCell="U19" sqref="U19:U49"/>
    </sheetView>
  </sheetViews>
  <sheetFormatPr baseColWidth="8" defaultRowHeight="14.45"/>
  <cols>
    <col width="15.140625" bestFit="1" customWidth="1" min="1" max="1"/>
    <col width="10.42578125" bestFit="1" customWidth="1" min="2" max="2"/>
    <col width="8.42578125" bestFit="1" customWidth="1" min="3" max="3"/>
    <col width="10.7109375" bestFit="1" customWidth="1" min="4" max="4"/>
    <col width="16.7109375" bestFit="1" customWidth="1" min="5" max="5"/>
    <col width="20" customWidth="1" min="6" max="6"/>
    <col width="11.5703125" bestFit="1" customWidth="1" min="7" max="7"/>
    <col width="15.7109375" bestFit="1" customWidth="1" min="8" max="8"/>
    <col width="14.28515625" bestFit="1" customWidth="1" min="9" max="9"/>
    <col width="14.85546875" bestFit="1" customWidth="1" min="10" max="11"/>
    <col width="10.85546875" bestFit="1" customWidth="1" min="12" max="12"/>
    <col width="5.5703125" bestFit="1" customWidth="1" min="14" max="14"/>
    <col width="6.5703125" bestFit="1" customWidth="1" min="15" max="15"/>
    <col width="8.7109375" bestFit="1" customWidth="1" min="16" max="16"/>
    <col width="10.85546875" bestFit="1" customWidth="1" min="17" max="17"/>
    <col width="9" bestFit="1" customWidth="1" min="18" max="18"/>
    <col width="10.85546875" bestFit="1" customWidth="1" min="19" max="19"/>
    <col width="7.42578125" bestFit="1" customWidth="1" min="20" max="20"/>
    <col width="6" bestFit="1" customWidth="1" min="21" max="21"/>
    <col width="29.5703125" bestFit="1" customWidth="1" min="22" max="22"/>
  </cols>
  <sheetData>
    <row r="1">
      <c r="A1" s="18" t="inlineStr">
        <is>
          <t>Position Sizing Calculator</t>
        </is>
      </c>
      <c r="D1" s="20" t="inlineStr">
        <is>
          <t>Colour Codes</t>
        </is>
      </c>
      <c r="E1" s="30" t="n"/>
    </row>
    <row r="2">
      <c r="D2" s="31" t="n"/>
      <c r="E2" s="32" t="n"/>
    </row>
    <row r="3">
      <c r="A3" s="1" t="inlineStr">
        <is>
          <t>Capital</t>
        </is>
      </c>
      <c r="B3" s="1" t="n">
        <v>25000</v>
      </c>
      <c r="D3" s="11" t="inlineStr">
        <is>
          <t>Red</t>
        </is>
      </c>
      <c r="E3" s="12" t="inlineStr">
        <is>
          <t>Your Input</t>
        </is>
      </c>
    </row>
    <row r="4">
      <c r="A4" s="1" t="inlineStr">
        <is>
          <t>Entry Price</t>
        </is>
      </c>
      <c r="B4" s="1" t="n">
        <v>188</v>
      </c>
      <c r="D4" s="13" t="inlineStr">
        <is>
          <t>Orange</t>
        </is>
      </c>
      <c r="E4" s="14" t="inlineStr">
        <is>
          <t>Constants</t>
        </is>
      </c>
    </row>
    <row r="5">
      <c r="A5" s="1" t="inlineStr">
        <is>
          <t>Stop Loss</t>
        </is>
      </c>
      <c r="B5" s="1" t="n">
        <v>161</v>
      </c>
      <c r="D5" s="15" t="inlineStr">
        <is>
          <t>Green</t>
        </is>
      </c>
      <c r="E5" s="14" t="inlineStr">
        <is>
          <t>Automatically filled</t>
        </is>
      </c>
    </row>
    <row r="6">
      <c r="A6" s="2" t="inlineStr">
        <is>
          <t>% Risk of Capital</t>
        </is>
      </c>
      <c r="B6" s="2" t="n">
        <v>2</v>
      </c>
    </row>
    <row r="7">
      <c r="A7" s="2" t="inlineStr">
        <is>
          <t>No: of Trades</t>
        </is>
      </c>
      <c r="B7" s="2" t="n">
        <v>5</v>
      </c>
    </row>
    <row r="8">
      <c r="A8" s="3" t="inlineStr">
        <is>
          <t>%SL in Trade</t>
        </is>
      </c>
      <c r="B8" s="4">
        <f>IFERROR((B4-B5)/B4,"")</f>
        <v/>
      </c>
    </row>
    <row r="9">
      <c r="A9" s="3" t="inlineStr">
        <is>
          <t>Max Qty</t>
        </is>
      </c>
      <c r="B9" s="16">
        <f>IFERROR(B3*B6%/(B4-B5),"")</f>
        <v/>
      </c>
    </row>
    <row r="10">
      <c r="A10" s="3" t="inlineStr">
        <is>
          <t>Ideal Capital</t>
        </is>
      </c>
      <c r="B10" s="3">
        <f>IFERROR(MIN(B3/B7,B9*B4),"")</f>
        <v/>
      </c>
    </row>
    <row r="11">
      <c r="A11" s="3" t="inlineStr">
        <is>
          <t>Ideal Qty to Buy</t>
        </is>
      </c>
      <c r="B11" s="16">
        <f>IFERROR(B10/B4,"")</f>
        <v/>
      </c>
    </row>
    <row r="14">
      <c r="A14" s="21" t="inlineStr">
        <is>
          <t>Swing Trading System</t>
        </is>
      </c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0" t="n"/>
    </row>
    <row r="15">
      <c r="A15" s="34" t="n"/>
      <c r="V15" s="35" t="n"/>
    </row>
    <row r="16">
      <c r="A16" s="31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2" t="n"/>
    </row>
    <row r="17">
      <c r="A17" s="22" t="inlineStr">
        <is>
          <t>Market Trend</t>
        </is>
      </c>
      <c r="B17" s="23" t="inlineStr">
        <is>
          <t>Stock</t>
        </is>
      </c>
      <c r="C17" s="24" t="inlineStr">
        <is>
          <t>Fundamental Checks</t>
        </is>
      </c>
      <c r="D17" s="37" t="n"/>
      <c r="E17" s="37" t="n"/>
      <c r="F17" s="38" t="n"/>
      <c r="G17" s="39" t="inlineStr">
        <is>
          <t>Technical Check</t>
        </is>
      </c>
      <c r="H17" s="37" t="n"/>
      <c r="I17" s="37" t="n"/>
      <c r="J17" s="37" t="n"/>
      <c r="K17" s="38" t="n"/>
      <c r="L17" s="25" t="inlineStr">
        <is>
          <t>Risk Management</t>
        </is>
      </c>
      <c r="M17" s="37" t="n"/>
      <c r="N17" s="37" t="n"/>
      <c r="O17" s="37" t="n"/>
      <c r="P17" s="38" t="n"/>
      <c r="Q17" s="26" t="inlineStr">
        <is>
          <t>Results</t>
        </is>
      </c>
      <c r="R17" s="37" t="n"/>
      <c r="S17" s="37" t="n"/>
      <c r="T17" s="37" t="n"/>
      <c r="U17" s="37" t="n"/>
      <c r="V17" s="38" t="n"/>
    </row>
    <row r="18">
      <c r="A18" s="40" t="n"/>
      <c r="B18" s="40" t="n"/>
      <c r="C18" s="6" t="inlineStr">
        <is>
          <t>Red Flag</t>
        </is>
      </c>
      <c r="D18" s="6" t="inlineStr">
        <is>
          <t>Entry Point</t>
        </is>
      </c>
      <c r="E18" s="6" t="inlineStr">
        <is>
          <t>Promoter Holding</t>
        </is>
      </c>
      <c r="F18" s="6" t="inlineStr">
        <is>
          <t>Institutional Holdings</t>
        </is>
      </c>
      <c r="G18" s="6" t="inlineStr">
        <is>
          <t>Avg Volume</t>
        </is>
      </c>
      <c r="H18" s="6" t="inlineStr">
        <is>
          <t>MACD Crossover</t>
        </is>
      </c>
      <c r="I18" s="6" t="inlineStr">
        <is>
          <t>EMA Crossover</t>
        </is>
      </c>
      <c r="J18" s="6" t="inlineStr">
        <is>
          <t>Price is now</t>
        </is>
      </c>
      <c r="K18" s="6" t="inlineStr">
        <is>
          <t>Bullish Reversal</t>
        </is>
      </c>
      <c r="L18" s="6" t="inlineStr">
        <is>
          <t>Entry Date</t>
        </is>
      </c>
      <c r="M18" s="6" t="inlineStr">
        <is>
          <t>Stop Loss</t>
        </is>
      </c>
      <c r="N18" s="6" t="inlineStr">
        <is>
          <t>Entry</t>
        </is>
      </c>
      <c r="O18" s="6" t="inlineStr">
        <is>
          <t>Target</t>
        </is>
      </c>
      <c r="P18" s="6" t="inlineStr">
        <is>
          <t>Quantity</t>
        </is>
      </c>
      <c r="Q18" s="6" t="inlineStr">
        <is>
          <t>Confidence</t>
        </is>
      </c>
      <c r="R18" s="6" t="inlineStr">
        <is>
          <t>Exit Price</t>
        </is>
      </c>
      <c r="S18" s="6" t="inlineStr">
        <is>
          <t>Exit Date</t>
        </is>
      </c>
      <c r="T18" s="6" t="inlineStr">
        <is>
          <t>P&amp;L</t>
        </is>
      </c>
      <c r="U18" s="6" t="inlineStr">
        <is>
          <t>P&amp;L%</t>
        </is>
      </c>
      <c r="V18" s="17" t="inlineStr">
        <is>
          <t>Mistakes &amp; Comments</t>
        </is>
      </c>
    </row>
    <row r="19">
      <c r="A19" s="8" t="inlineStr">
        <is>
          <t>Up</t>
        </is>
      </c>
      <c r="B19" s="5" t="inlineStr">
        <is>
          <t>TATASTEEL</t>
        </is>
      </c>
      <c r="C19" s="5" t="inlineStr">
        <is>
          <t>No</t>
        </is>
      </c>
      <c r="D19" s="5" t="inlineStr">
        <is>
          <t>Good</t>
        </is>
      </c>
      <c r="E19" s="5" t="inlineStr">
        <is>
          <t>Good</t>
        </is>
      </c>
      <c r="F19" s="5" t="inlineStr">
        <is>
          <t>Good</t>
        </is>
      </c>
      <c r="G19" s="5" t="inlineStr">
        <is>
          <t>Good</t>
        </is>
      </c>
      <c r="H19" s="5" t="inlineStr">
        <is>
          <t>Yes</t>
        </is>
      </c>
      <c r="I19" s="5" t="inlineStr">
        <is>
          <t>Yes</t>
        </is>
      </c>
      <c r="J19" s="5" t="inlineStr">
        <is>
          <t>Near support</t>
        </is>
      </c>
      <c r="K19" s="5" t="inlineStr">
        <is>
          <t>Yes</t>
        </is>
      </c>
      <c r="L19" s="9" t="n">
        <v>45722</v>
      </c>
      <c r="M19" s="5" t="n">
        <v>140</v>
      </c>
      <c r="N19" s="5" t="n">
        <v>150</v>
      </c>
      <c r="O19" s="5" t="n">
        <v>170</v>
      </c>
      <c r="P19" s="5" t="n">
        <v>33</v>
      </c>
      <c r="Q19" s="5" t="inlineStr">
        <is>
          <t>High</t>
        </is>
      </c>
      <c r="R19" s="5" t="n">
        <v>140</v>
      </c>
      <c r="S19" s="9" t="n">
        <v>45748</v>
      </c>
      <c r="T19" s="10">
        <f>IF(ISBLANK(R19)," ",((R19*P19)-(N19*P19)))</f>
        <v/>
      </c>
      <c r="U19" s="7">
        <f>IF(ISBLANK(R19)," ",((R19-N19)/N19))</f>
        <v/>
      </c>
      <c r="V19" s="5" t="inlineStr">
        <is>
          <t>This was an entry during class</t>
        </is>
      </c>
    </row>
    <row r="20">
      <c r="A20" s="8" t="inlineStr">
        <is>
          <t>Down</t>
        </is>
      </c>
      <c r="B20" s="5" t="inlineStr">
        <is>
          <t>HINDALCO</t>
        </is>
      </c>
      <c r="C20" s="5" t="inlineStr">
        <is>
          <t>No</t>
        </is>
      </c>
      <c r="D20" s="5" t="inlineStr">
        <is>
          <t>Good</t>
        </is>
      </c>
      <c r="E20" s="5" t="inlineStr">
        <is>
          <t>Good</t>
        </is>
      </c>
      <c r="F20" s="5" t="inlineStr">
        <is>
          <t>Good</t>
        </is>
      </c>
      <c r="G20" s="5" t="inlineStr">
        <is>
          <t>Good</t>
        </is>
      </c>
      <c r="H20" s="5" t="inlineStr">
        <is>
          <t>Yes</t>
        </is>
      </c>
      <c r="I20" s="5" t="inlineStr">
        <is>
          <t>No</t>
        </is>
      </c>
      <c r="J20" s="5" t="inlineStr">
        <is>
          <t>Near Resistance</t>
        </is>
      </c>
      <c r="K20" s="5" t="inlineStr">
        <is>
          <t>Yes</t>
        </is>
      </c>
      <c r="L20" s="9" t="n">
        <v>45723</v>
      </c>
      <c r="M20" s="5" t="n">
        <v>650</v>
      </c>
      <c r="N20" s="5" t="n">
        <v>702</v>
      </c>
      <c r="O20" s="5" t="n">
        <v>800</v>
      </c>
      <c r="P20" s="5" t="n">
        <v>7</v>
      </c>
      <c r="Q20" s="5" t="inlineStr">
        <is>
          <t>Medium</t>
        </is>
      </c>
      <c r="R20" s="5" t="n">
        <v>650</v>
      </c>
      <c r="S20" s="9" t="n">
        <v>45748</v>
      </c>
      <c r="T20" s="10">
        <f>IF(ISBLANK(R20)," ",((R20*P20)-(N20*P20)))</f>
        <v/>
      </c>
      <c r="U20" s="7">
        <f>IF(ISBLANK(R20)," ",((R20-N20)/N20))</f>
        <v/>
      </c>
      <c r="V20" s="5" t="inlineStr">
        <is>
          <t>This was an entry during class</t>
        </is>
      </c>
    </row>
    <row r="21">
      <c r="A21" s="8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9" t="n"/>
      <c r="M21" s="5" t="n"/>
      <c r="N21" s="5" t="n"/>
      <c r="O21" s="5" t="n"/>
      <c r="P21" s="5" t="n"/>
      <c r="Q21" s="5" t="n"/>
      <c r="R21" s="5" t="n"/>
      <c r="S21" s="5" t="n"/>
      <c r="T21" s="10" t="n"/>
      <c r="U21" s="7" t="n"/>
      <c r="V21" s="5" t="n"/>
    </row>
    <row r="22">
      <c r="A22" s="8" t="inlineStr">
        <is>
          <t>Up</t>
        </is>
      </c>
      <c r="B22" s="5" t="inlineStr">
        <is>
          <t>SCI</t>
        </is>
      </c>
      <c r="C22" s="5" t="inlineStr">
        <is>
          <t>No</t>
        </is>
      </c>
      <c r="D22" s="5" t="inlineStr">
        <is>
          <t>Good</t>
        </is>
      </c>
      <c r="E22" s="5" t="inlineStr">
        <is>
          <t>Good</t>
        </is>
      </c>
      <c r="F22" s="5" t="inlineStr">
        <is>
          <t>Avg</t>
        </is>
      </c>
      <c r="G22" s="5" t="inlineStr">
        <is>
          <t>Good</t>
        </is>
      </c>
      <c r="H22" s="5" t="inlineStr">
        <is>
          <t>Yes</t>
        </is>
      </c>
      <c r="I22" s="5" t="inlineStr">
        <is>
          <t>No</t>
        </is>
      </c>
      <c r="J22" s="5" t="inlineStr">
        <is>
          <t>Near support</t>
        </is>
      </c>
      <c r="K22" s="5" t="inlineStr">
        <is>
          <t>Yes</t>
        </is>
      </c>
      <c r="L22" s="9" t="n">
        <v>45793</v>
      </c>
      <c r="M22" s="5" t="n">
        <v>161</v>
      </c>
      <c r="N22" s="5" t="n">
        <v>188</v>
      </c>
      <c r="O22" s="5" t="n">
        <v>214</v>
      </c>
      <c r="P22" s="5" t="n">
        <v>18</v>
      </c>
      <c r="Q22" s="5" t="inlineStr">
        <is>
          <t>High</t>
        </is>
      </c>
      <c r="R22" s="5" t="n">
        <v>214</v>
      </c>
      <c r="S22" s="9" t="n">
        <v>45810</v>
      </c>
      <c r="T22" s="10">
        <f>IF(ISBLANK(R22)," ",((R22*P22)-(N22*P22)))</f>
        <v/>
      </c>
      <c r="U22" s="7">
        <f>IF(ISBLANK(R22)," ",((R22-N22)/N22))</f>
        <v/>
      </c>
      <c r="V22" s="5" t="inlineStr">
        <is>
          <t>Took more time to hit the target.</t>
        </is>
      </c>
    </row>
    <row r="23">
      <c r="A23" s="8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9" t="n"/>
      <c r="M23" s="5" t="n"/>
      <c r="N23" s="5" t="n"/>
      <c r="O23" s="5" t="n"/>
      <c r="P23" s="5" t="n"/>
      <c r="Q23" s="5" t="n"/>
      <c r="R23" s="5" t="n"/>
      <c r="S23" s="5" t="n"/>
      <c r="T23" s="10">
        <f>IF(ISBLANK(R23)," ",((R23*P23)-(N23*P23)))</f>
        <v/>
      </c>
      <c r="U23" s="7">
        <f>IF(ISBLANK(R23)," ",((R23-N23)/N23))</f>
        <v/>
      </c>
      <c r="V23" s="5" t="n"/>
    </row>
    <row r="24">
      <c r="A24" s="8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9" t="n"/>
      <c r="M24" s="5" t="n"/>
      <c r="N24" s="5" t="n"/>
      <c r="O24" s="5" t="n"/>
      <c r="P24" s="5" t="n"/>
      <c r="Q24" s="5" t="n"/>
      <c r="R24" s="5" t="n"/>
      <c r="S24" s="5" t="n"/>
      <c r="T24" s="10">
        <f>IF(ISBLANK(R24)," ",((R24*P24)-(N24*P24)))</f>
        <v/>
      </c>
      <c r="U24" s="7">
        <f>IF(ISBLANK(R24)," ",((R24-N24)/N24))</f>
        <v/>
      </c>
      <c r="V24" s="5" t="n"/>
    </row>
    <row r="25">
      <c r="A25" s="8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9" t="n"/>
      <c r="M25" s="5" t="n"/>
      <c r="N25" s="5" t="n"/>
      <c r="O25" s="5" t="n"/>
      <c r="P25" s="5" t="n"/>
      <c r="Q25" s="5" t="n"/>
      <c r="R25" s="5" t="n"/>
      <c r="S25" s="5" t="n"/>
      <c r="T25" s="10">
        <f>IF(ISBLANK(R25)," ",((R25*P25)-(N25*P25)))</f>
        <v/>
      </c>
      <c r="U25" s="7">
        <f>IF(ISBLANK(R25)," ",((R25-N25)/N25))</f>
        <v/>
      </c>
      <c r="V25" s="5" t="n"/>
    </row>
    <row r="26">
      <c r="A26" s="8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9" t="n"/>
      <c r="M26" s="5" t="n"/>
      <c r="N26" s="5" t="n"/>
      <c r="O26" s="5" t="n"/>
      <c r="P26" s="5" t="n"/>
      <c r="Q26" s="5" t="n"/>
      <c r="R26" s="5" t="n"/>
      <c r="S26" s="5" t="n"/>
      <c r="T26" s="10">
        <f>IF(ISBLANK(R26)," ",((R26*P26)-(N26*P26)))</f>
        <v/>
      </c>
      <c r="U26" s="7">
        <f>IF(ISBLANK(R26)," ",((R26-N26)/N26))</f>
        <v/>
      </c>
      <c r="V26" s="5" t="n"/>
    </row>
    <row r="27">
      <c r="A27" s="8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9" t="n"/>
      <c r="M27" s="5" t="n"/>
      <c r="N27" s="5" t="n"/>
      <c r="O27" s="5" t="n"/>
      <c r="P27" s="5" t="n"/>
      <c r="Q27" s="5" t="n"/>
      <c r="R27" s="5" t="n"/>
      <c r="S27" s="5" t="n"/>
      <c r="T27" s="10">
        <f>IF(ISBLANK(R27)," ",((R27*P27)-(N27*P27)))</f>
        <v/>
      </c>
      <c r="U27" s="7">
        <f>IF(ISBLANK(R27)," ",((R27-N27)/N27))</f>
        <v/>
      </c>
      <c r="V27" s="5" t="n"/>
    </row>
    <row r="28">
      <c r="A28" s="8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9" t="n"/>
      <c r="M28" s="5" t="n"/>
      <c r="N28" s="5" t="n"/>
      <c r="O28" s="5" t="n"/>
      <c r="P28" s="5" t="n"/>
      <c r="Q28" s="5" t="n"/>
      <c r="R28" s="5" t="n"/>
      <c r="S28" s="5" t="n"/>
      <c r="T28" s="10">
        <f>IF(ISBLANK(R28)," ",((R28*P28)-(N28*P28)))</f>
        <v/>
      </c>
      <c r="U28" s="7">
        <f>IF(ISBLANK(R28)," ",((R28-N28)/N28))</f>
        <v/>
      </c>
      <c r="V28" s="5" t="n"/>
    </row>
    <row r="29">
      <c r="A29" s="8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9" t="n"/>
      <c r="M29" s="5" t="n"/>
      <c r="N29" s="5" t="n"/>
      <c r="O29" s="5" t="n"/>
      <c r="P29" s="5" t="n"/>
      <c r="Q29" s="5" t="n"/>
      <c r="R29" s="5" t="n"/>
      <c r="S29" s="5" t="n"/>
      <c r="T29" s="10">
        <f>IF(ISBLANK(R29)," ",((R29*P29)-(N29*P29)))</f>
        <v/>
      </c>
      <c r="U29" s="7">
        <f>IF(ISBLANK(R29)," ",((R29-N29)/N29))</f>
        <v/>
      </c>
      <c r="V29" s="5" t="n"/>
    </row>
    <row r="30">
      <c r="A30" s="8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9" t="n"/>
      <c r="M30" s="5" t="n"/>
      <c r="N30" s="5" t="n"/>
      <c r="O30" s="5" t="n"/>
      <c r="P30" s="5" t="n"/>
      <c r="Q30" s="5" t="n"/>
      <c r="R30" s="5" t="n"/>
      <c r="S30" s="5" t="n"/>
      <c r="T30" s="10">
        <f>IF(ISBLANK(R30)," ",((R30*P30)-(N30*P30)))</f>
        <v/>
      </c>
      <c r="U30" s="7">
        <f>IF(ISBLANK(R30)," ",((R30-N30)/N30))</f>
        <v/>
      </c>
      <c r="V30" s="5" t="n"/>
    </row>
    <row r="31">
      <c r="A31" s="8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9" t="n"/>
      <c r="M31" s="5" t="n"/>
      <c r="N31" s="5" t="n"/>
      <c r="O31" s="5" t="n"/>
      <c r="P31" s="5" t="n"/>
      <c r="Q31" s="5" t="n"/>
      <c r="R31" s="5" t="n"/>
      <c r="S31" s="5" t="n"/>
      <c r="T31" s="10">
        <f>IF(ISBLANK(R31)," ",((R31*P31)-(N31*P31)))</f>
        <v/>
      </c>
      <c r="U31" s="7">
        <f>IF(ISBLANK(R31)," ",((R31-N31)/N31))</f>
        <v/>
      </c>
      <c r="V31" s="5" t="n"/>
    </row>
    <row r="32">
      <c r="A32" s="8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9" t="n"/>
      <c r="M32" s="5" t="n"/>
      <c r="N32" s="5" t="n"/>
      <c r="O32" s="5" t="n"/>
      <c r="P32" s="5" t="n"/>
      <c r="Q32" s="5" t="n"/>
      <c r="R32" s="5" t="n"/>
      <c r="S32" s="5" t="n"/>
      <c r="T32" s="10">
        <f>IF(ISBLANK(R32)," ",((R32*P32)-(N32*P32)))</f>
        <v/>
      </c>
      <c r="U32" s="7">
        <f>IF(ISBLANK(R32)," ",((R32-N32)/N32))</f>
        <v/>
      </c>
      <c r="V32" s="5" t="n"/>
    </row>
    <row r="33">
      <c r="A33" s="8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9" t="n"/>
      <c r="M33" s="5" t="n"/>
      <c r="N33" s="5" t="n"/>
      <c r="O33" s="5" t="n"/>
      <c r="P33" s="5" t="n"/>
      <c r="Q33" s="5" t="n"/>
      <c r="R33" s="5" t="n"/>
      <c r="S33" s="5" t="n"/>
      <c r="T33" s="10">
        <f>IF(ISBLANK(R33)," ",((R33*P33)-(N33*P33)))</f>
        <v/>
      </c>
      <c r="U33" s="7">
        <f>IF(ISBLANK(R33)," ",((R33-N33)/N33))</f>
        <v/>
      </c>
      <c r="V33" s="5" t="n"/>
    </row>
    <row r="34">
      <c r="A34" s="8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9" t="n"/>
      <c r="M34" s="5" t="n"/>
      <c r="N34" s="5" t="n"/>
      <c r="O34" s="5" t="n"/>
      <c r="P34" s="5" t="n"/>
      <c r="Q34" s="5" t="n"/>
      <c r="R34" s="5" t="n"/>
      <c r="S34" s="5" t="n"/>
      <c r="T34" s="10">
        <f>IF(ISBLANK(R34)," ",((R34*P34)-(N34*P34)))</f>
        <v/>
      </c>
      <c r="U34" s="7">
        <f>IF(ISBLANK(R34)," ",((R34-N34)/N34))</f>
        <v/>
      </c>
      <c r="V34" s="5" t="n"/>
    </row>
    <row r="35">
      <c r="A35" s="8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9" t="n"/>
      <c r="M35" s="5" t="n"/>
      <c r="N35" s="5" t="n"/>
      <c r="O35" s="5" t="n"/>
      <c r="P35" s="5" t="n"/>
      <c r="Q35" s="5" t="n"/>
      <c r="R35" s="5" t="n"/>
      <c r="S35" s="5" t="n"/>
      <c r="T35" s="10">
        <f>IF(ISBLANK(R35)," ",((R35*P35)-(N35*P35)))</f>
        <v/>
      </c>
      <c r="U35" s="7">
        <f>IF(ISBLANK(R35)," ",((R35-N35)/N35))</f>
        <v/>
      </c>
      <c r="V35" s="5" t="n"/>
    </row>
    <row r="36">
      <c r="A36" s="8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9" t="n"/>
      <c r="M36" s="5" t="n"/>
      <c r="N36" s="5" t="n"/>
      <c r="O36" s="5" t="n"/>
      <c r="P36" s="5" t="n"/>
      <c r="Q36" s="5" t="n"/>
      <c r="R36" s="5" t="n"/>
      <c r="S36" s="5" t="n"/>
      <c r="T36" s="10">
        <f>IF(ISBLANK(R36)," ",((R36*P36)-(N36*P36)))</f>
        <v/>
      </c>
      <c r="U36" s="7">
        <f>IF(ISBLANK(R36)," ",((R36-N36)/N36))</f>
        <v/>
      </c>
      <c r="V36" s="5" t="n"/>
    </row>
    <row r="37">
      <c r="A37" s="8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9" t="n"/>
      <c r="M37" s="5" t="n"/>
      <c r="N37" s="5" t="n"/>
      <c r="O37" s="5" t="n"/>
      <c r="P37" s="5" t="n"/>
      <c r="Q37" s="5" t="n"/>
      <c r="R37" s="5" t="n"/>
      <c r="S37" s="5" t="n"/>
      <c r="T37" s="10">
        <f>IF(ISBLANK(R37)," ",((R37*P37)-(N37*P37)))</f>
        <v/>
      </c>
      <c r="U37" s="7">
        <f>IF(ISBLANK(R37)," ",((R37-N37)/N37))</f>
        <v/>
      </c>
      <c r="V37" s="5" t="n"/>
    </row>
    <row r="38">
      <c r="A38" s="8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9" t="n"/>
      <c r="M38" s="5" t="n"/>
      <c r="N38" s="5" t="n"/>
      <c r="O38" s="5" t="n"/>
      <c r="P38" s="5" t="n"/>
      <c r="Q38" s="5" t="n"/>
      <c r="R38" s="5" t="n"/>
      <c r="S38" s="5" t="n"/>
      <c r="T38" s="10">
        <f>IF(ISBLANK(R38)," ",((R38*P38)-(N38*P38)))</f>
        <v/>
      </c>
      <c r="U38" s="7">
        <f>IF(ISBLANK(R38)," ",((R38-N38)/N38))</f>
        <v/>
      </c>
      <c r="V38" s="5" t="n"/>
    </row>
    <row r="39">
      <c r="A39" s="8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9" t="n"/>
      <c r="M39" s="5" t="n"/>
      <c r="N39" s="5" t="n"/>
      <c r="O39" s="5" t="n"/>
      <c r="P39" s="5" t="n"/>
      <c r="Q39" s="5" t="n"/>
      <c r="R39" s="5" t="n"/>
      <c r="S39" s="5" t="n"/>
      <c r="T39" s="10">
        <f>IF(ISBLANK(R39)," ",((R39*P39)-(N39*P39)))</f>
        <v/>
      </c>
      <c r="U39" s="7">
        <f>IF(ISBLANK(R39)," ",((R39-N39)/N39))</f>
        <v/>
      </c>
      <c r="V39" s="5" t="n"/>
    </row>
    <row r="40">
      <c r="A40" s="8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9" t="n"/>
      <c r="M40" s="5" t="n"/>
      <c r="N40" s="5" t="n"/>
      <c r="O40" s="5" t="n"/>
      <c r="P40" s="5" t="n"/>
      <c r="Q40" s="5" t="n"/>
      <c r="R40" s="5" t="n"/>
      <c r="S40" s="5" t="n"/>
      <c r="T40" s="10">
        <f>IF(ISBLANK(R40)," ",((R40*P40)-(N40*P40)))</f>
        <v/>
      </c>
      <c r="U40" s="7">
        <f>IF(ISBLANK(R40)," ",((R40-N40)/N40))</f>
        <v/>
      </c>
      <c r="V40" s="5" t="n"/>
    </row>
    <row r="41">
      <c r="A41" s="8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9" t="n"/>
      <c r="M41" s="5" t="n"/>
      <c r="N41" s="5" t="n"/>
      <c r="O41" s="5" t="n"/>
      <c r="P41" s="5" t="n"/>
      <c r="Q41" s="5" t="n"/>
      <c r="R41" s="5" t="n"/>
      <c r="S41" s="5" t="n"/>
      <c r="T41" s="10">
        <f>IF(ISBLANK(R41)," ",((R41*P41)-(N41*P41)))</f>
        <v/>
      </c>
      <c r="U41" s="7">
        <f>IF(ISBLANK(R41)," ",((R41-N41)/N41))</f>
        <v/>
      </c>
      <c r="V41" s="5" t="n"/>
    </row>
    <row r="42">
      <c r="A42" s="8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9" t="n"/>
      <c r="M42" s="5" t="n"/>
      <c r="N42" s="5" t="n"/>
      <c r="O42" s="5" t="n"/>
      <c r="P42" s="5" t="n"/>
      <c r="Q42" s="5" t="n"/>
      <c r="R42" s="5" t="n"/>
      <c r="S42" s="5" t="n"/>
      <c r="T42" s="10">
        <f>IF(ISBLANK(R42)," ",((R42*P42)-(N42*P42)))</f>
        <v/>
      </c>
      <c r="U42" s="7">
        <f>IF(ISBLANK(R42)," ",((R42-N42)/N42))</f>
        <v/>
      </c>
      <c r="V42" s="5" t="n"/>
    </row>
    <row r="43">
      <c r="A43" s="8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9" t="n"/>
      <c r="M43" s="5" t="n"/>
      <c r="N43" s="5" t="n"/>
      <c r="O43" s="5" t="n"/>
      <c r="P43" s="5" t="n"/>
      <c r="Q43" s="5" t="n"/>
      <c r="R43" s="5" t="n"/>
      <c r="S43" s="5" t="n"/>
      <c r="T43" s="10">
        <f>IF(ISBLANK(R43)," ",((R43*P43)-(N43*P43)))</f>
        <v/>
      </c>
      <c r="U43" s="7">
        <f>IF(ISBLANK(R43)," ",((R43-N43)/N43))</f>
        <v/>
      </c>
      <c r="V43" s="5" t="n"/>
    </row>
    <row r="44">
      <c r="A44" s="8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9" t="n"/>
      <c r="M44" s="5" t="n"/>
      <c r="N44" s="5" t="n"/>
      <c r="O44" s="5" t="n"/>
      <c r="P44" s="5" t="n"/>
      <c r="Q44" s="5" t="n"/>
      <c r="R44" s="5" t="n"/>
      <c r="S44" s="5" t="n"/>
      <c r="T44" s="10">
        <f>IF(ISBLANK(R44)," ",((R44*P44)-(N44*P44)))</f>
        <v/>
      </c>
      <c r="U44" s="7">
        <f>IF(ISBLANK(R44)," ",((R44-N44)/N44))</f>
        <v/>
      </c>
      <c r="V44" s="5" t="n"/>
    </row>
    <row r="45">
      <c r="A45" s="8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9" t="n"/>
      <c r="M45" s="5" t="n"/>
      <c r="N45" s="5" t="n"/>
      <c r="O45" s="5" t="n"/>
      <c r="P45" s="5" t="n"/>
      <c r="Q45" s="5" t="n"/>
      <c r="R45" s="5" t="n"/>
      <c r="S45" s="5" t="n"/>
      <c r="T45" s="10">
        <f>IF(ISBLANK(R45)," ",((R45*P45)-(N45*P45)))</f>
        <v/>
      </c>
      <c r="U45" s="7">
        <f>IF(ISBLANK(R45)," ",((R45-N45)/N45))</f>
        <v/>
      </c>
      <c r="V45" s="5" t="n"/>
    </row>
    <row r="46">
      <c r="A46" s="8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9" t="n"/>
      <c r="M46" s="5" t="n"/>
      <c r="N46" s="5" t="n"/>
      <c r="O46" s="5" t="n"/>
      <c r="P46" s="5" t="n"/>
      <c r="Q46" s="5" t="n"/>
      <c r="R46" s="5" t="n"/>
      <c r="S46" s="5" t="n"/>
      <c r="T46" s="10">
        <f>IF(ISBLANK(R46)," ",((R46*P46)-(N46*P46)))</f>
        <v/>
      </c>
      <c r="U46" s="7">
        <f>IF(ISBLANK(R46)," ",((R46-N46)/N46))</f>
        <v/>
      </c>
      <c r="V46" s="5" t="n"/>
    </row>
    <row r="47">
      <c r="A47" s="8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9" t="n"/>
      <c r="M47" s="5" t="n"/>
      <c r="N47" s="5" t="n"/>
      <c r="O47" s="5" t="n"/>
      <c r="P47" s="5" t="n"/>
      <c r="Q47" s="5" t="n"/>
      <c r="R47" s="5" t="n"/>
      <c r="S47" s="5" t="n"/>
      <c r="T47" s="10">
        <f>IF(ISBLANK(R47)," ",((R47*P47)-(N47*P47)))</f>
        <v/>
      </c>
      <c r="U47" s="7">
        <f>IF(ISBLANK(R47)," ",((R47-N47)/N47))</f>
        <v/>
      </c>
      <c r="V47" s="5" t="n"/>
    </row>
    <row r="48">
      <c r="A48" s="8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9" t="n"/>
      <c r="M48" s="5" t="n"/>
      <c r="N48" s="5" t="n"/>
      <c r="O48" s="5" t="n"/>
      <c r="P48" s="5" t="n"/>
      <c r="Q48" s="5" t="n"/>
      <c r="R48" s="5" t="n"/>
      <c r="S48" s="5" t="n"/>
      <c r="T48" s="10">
        <f>IF(ISBLANK(R48)," ",((R48*P48)-(N48*P48)))</f>
        <v/>
      </c>
      <c r="U48" s="7">
        <f>IF(ISBLANK(R48)," ",((R48-N48)/N48))</f>
        <v/>
      </c>
      <c r="V48" s="5" t="n"/>
    </row>
    <row r="49" ht="15" customHeight="1">
      <c r="U49" s="7">
        <f>IF(ISBLANK(R49)," ",((R49-N49)/N49))</f>
        <v/>
      </c>
    </row>
    <row r="50" ht="15" customHeight="1"/>
    <row r="51" ht="15" customHeight="1"/>
    <row r="52" ht="15" customHeight="1"/>
  </sheetData>
  <mergeCells count="9">
    <mergeCell ref="G17:K17"/>
    <mergeCell ref="L17:P17"/>
    <mergeCell ref="C17:F17"/>
    <mergeCell ref="A14:V16"/>
    <mergeCell ref="A17:A18"/>
    <mergeCell ref="D1:E2"/>
    <mergeCell ref="B17:B18"/>
    <mergeCell ref="A1:B2"/>
    <mergeCell ref="Q17:V17"/>
  </mergeCells>
  <conditionalFormatting sqref="U19:U49">
    <cfRule type="containsBlanks" priority="3" stopIfTrue="1">
      <formula>LEN(TRIM(U19))=0</formula>
    </cfRule>
    <cfRule type="cellIs" priority="30" operator="lessThan" dxfId="1">
      <formula>0</formula>
    </cfRule>
    <cfRule type="cellIs" priority="31" operator="greaterThan" dxfId="0">
      <formula>0</formula>
    </cfRule>
  </conditionalFormatting>
  <conditionalFormatting sqref="T19:T48">
    <cfRule type="containsBlanks" priority="4" stopIfTrue="1">
      <formula>LEN(TRIM(T19))=0</formula>
    </cfRule>
    <cfRule type="cellIs" priority="29" operator="greaterThan" dxfId="0">
      <formula>0</formula>
    </cfRule>
    <cfRule type="cellIs" priority="28" operator="lessThan" dxfId="1">
      <formula>0</formula>
    </cfRule>
  </conditionalFormatting>
  <conditionalFormatting sqref="A19:A48">
    <cfRule type="containsText" priority="23" operator="containsText" dxfId="1" text="Down">
      <formula>NOT(ISERROR(SEARCH("Down",A19)))</formula>
    </cfRule>
    <cfRule type="containsText" priority="24" operator="containsText" dxfId="3" text="Sideways">
      <formula>NOT(ISERROR(SEARCH("Sideways",A19)))</formula>
    </cfRule>
    <cfRule type="containsText" priority="25" operator="containsText" dxfId="0" text="Up">
      <formula>NOT(ISERROR(SEARCH("Up",A19)))</formula>
    </cfRule>
  </conditionalFormatting>
  <conditionalFormatting sqref="D19:G48">
    <cfRule type="containsText" priority="19" operator="containsText" dxfId="1" text="Bad">
      <formula>NOT(ISERROR(SEARCH("Bad",D19)))</formula>
    </cfRule>
    <cfRule type="containsText" priority="20" operator="containsText" dxfId="3" text="Avg">
      <formula>NOT(ISERROR(SEARCH("Avg",D19)))</formula>
    </cfRule>
    <cfRule type="containsText" priority="21" operator="containsText" dxfId="0" text="Good">
      <formula>NOT(ISERROR(SEARCH("Good",D19)))</formula>
    </cfRule>
  </conditionalFormatting>
  <conditionalFormatting sqref="C19:C48">
    <cfRule type="containsText" priority="17" operator="containsText" dxfId="0" text="No">
      <formula>NOT(ISERROR(SEARCH("No",C19)))</formula>
    </cfRule>
    <cfRule type="containsText" priority="18" operator="containsText" dxfId="1" text="Yes">
      <formula>NOT(ISERROR(SEARCH("Yes",C19)))</formula>
    </cfRule>
  </conditionalFormatting>
  <conditionalFormatting sqref="H19:K48">
    <cfRule type="containsText" priority="12" operator="containsText" dxfId="1" text="No">
      <formula>NOT(ISERROR(SEARCH("No",H19)))</formula>
    </cfRule>
    <cfRule type="containsText" priority="13" operator="containsText" dxfId="0" text="Yes">
      <formula>NOT(ISERROR(SEARCH("Yes",H19)))</formula>
    </cfRule>
  </conditionalFormatting>
  <conditionalFormatting sqref="Q19:Q48">
    <cfRule type="containsText" priority="9" operator="containsText" dxfId="1" text="Low">
      <formula>NOT(ISERROR(SEARCH("Low",Q19)))</formula>
    </cfRule>
    <cfRule type="containsText" priority="10" operator="containsText" dxfId="3" text="Medium">
      <formula>NOT(ISERROR(SEARCH("Medium",Q19)))</formula>
    </cfRule>
    <cfRule type="containsText" priority="11" operator="containsText" dxfId="0" text="High">
      <formula>NOT(ISERROR(SEARCH("High",Q19)))</formula>
    </cfRule>
  </conditionalFormatting>
  <conditionalFormatting sqref="J19:J48">
    <cfRule type="containsText" priority="1" operator="containsText" dxfId="1" text="Near Resistance">
      <formula>NOT(ISERROR(SEARCH("Near Resistance",J19)))</formula>
    </cfRule>
    <cfRule type="containsText" priority="2" operator="containsText" dxfId="0" text="Near support">
      <formula>NOT(ISERROR(SEARCH("Near support",J19)))</formula>
    </cfRule>
  </conditionalFormatting>
  <dataValidations count="14">
    <dataValidation sqref="A17:A20" showDropDown="0" showInputMessage="1" showErrorMessage="1" allowBlank="1" promptTitle="Trend Analysis" prompt="If market above 200 &amp; 50EMA then its on an Uptrend"/>
    <dataValidation sqref="B17:B20" showDropDown="0" showInputMessage="1" showErrorMessage="1" allowBlank="1" promptTitle="Stock Selection" prompt="Restrict your Stock selection to Nifty50 pr Max Nifty100 for Price action to work"/>
    <dataValidation sqref="C17:F17" showDropDown="0" showInputMessage="1" showErrorMessage="1" allowBlank="1" promptTitle="Fundamental Checks" prompt="Use ticketape to get necessary information on fundamentals of a stock"/>
    <dataValidation sqref="G17" showDropDown="0" showInputMessage="1" showErrorMessage="1" allowBlank="1" promptTitle="Technical Check" prompt="3 Convolutions is required for stock to give you a proper return"/>
    <dataValidation sqref="L17:P17" showDropDown="0" showInputMessage="1" showErrorMessage="1" allowBlank="1" promptTitle="Risk Management" prompt="Use Position Sizing calculator to decide how much quantities to buy"/>
    <dataValidation sqref="Q17:V17" showDropDown="0" showInputMessage="1" showErrorMessage="1" allowBlank="1" promptTitle="Results" prompt="Hitting Stoplosses are ok as long as your position sizing is correct.  And be honest with yourself on the feedback"/>
    <dataValidation sqref="B3" showDropDown="0" showInputMessage="1" showErrorMessage="1" allowBlank="1" promptTitle="Capital" prompt="Rollover/Increase your capital only once in a quater"/>
    <dataValidation sqref="B4:B5" showDropDown="0" showInputMessage="1" showErrorMessage="1" allowBlank="1" promptTitle="Entry / SL" prompt="Take the values from the chart and round it to the nearest  0.05 value"/>
    <dataValidation sqref="A19:A48" showDropDown="0" showInputMessage="1" showErrorMessage="1" allowBlank="1" type="list">
      <formula1>"Up, Sideways, Down"</formula1>
    </dataValidation>
    <dataValidation sqref="D19:G48" showDropDown="0" showInputMessage="1" showErrorMessage="1" allowBlank="1" type="list">
      <formula1>"Good, Avg, Bad"</formula1>
    </dataValidation>
    <dataValidation sqref="C19:C48 H19:I48 K19:K48" showDropDown="0" showInputMessage="1" showErrorMessage="1" allowBlank="1" type="list">
      <formula1>"Yes, No"</formula1>
    </dataValidation>
    <dataValidation sqref="L19:L48" showDropDown="0" showInputMessage="0" showErrorMessage="1" allowBlank="1" errorTitle="Date Error" error="Input correct date" type="date" operator="greaterThan">
      <formula1>45200</formula1>
    </dataValidation>
    <dataValidation sqref="Q19:Q48" showDropDown="0" showInputMessage="1" showErrorMessage="1" allowBlank="1" type="list">
      <formula1>"High, Medium, Low"</formula1>
    </dataValidation>
    <dataValidation sqref="J19:J48" showDropDown="0" showInputMessage="1" showErrorMessage="1" allowBlank="1" type="list">
      <formula1>"Near support, Near Resistance"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6" workbookViewId="0">
      <selection activeCell="N45" sqref="N45"/>
    </sheetView>
  </sheetViews>
  <sheetFormatPr baseColWidth="8" defaultRowHeight="14.45"/>
  <sheetData/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Jenson Jacob</dc:creator>
  <dc:title xmlns:dc="http://purl.org/dc/elements/1.1/">Swing Trading System</dc:title>
  <dcterms:created xmlns:dcterms="http://purl.org/dc/terms/" xmlns:xsi="http://www.w3.org/2001/XMLSchema-instance" xsi:type="dcterms:W3CDTF">2023-10-27T22:15:28Z</dcterms:created>
  <dcterms:modified xmlns:dcterms="http://purl.org/dc/terms/" xmlns:xsi="http://www.w3.org/2001/XMLSchema-instance" xsi:type="dcterms:W3CDTF">2026-05-07T12:00:19Z</dcterms:modified>
</cp:coreProperties>
</file>