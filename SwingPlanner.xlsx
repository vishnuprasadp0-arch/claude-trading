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jenso\Desktop\"/>
    </mc:Choice>
  </mc:AlternateContent>
  <xr:revisionPtr revIDLastSave="0" documentId="8_{515CF087-2E16-4565-866D-BE69F9A6710B}" xr6:coauthVersionLast="47" xr6:coauthVersionMax="47" xr10:uidLastSave="{00000000-0000-0000-0000-000000000000}"/>
  <bookViews>
    <workbookView xWindow="0" yWindow="0" windowWidth="19752" windowHeight="5652" xr2:uid="{00000000-000D-0000-FFFF-FFFF00000000}"/>
  </bookViews>
  <sheets>
    <sheet name="System" sheetId="1" r:id="rId1"/>
    <sheet name="Gui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T38" i="1"/>
  <c r="T39" i="1"/>
  <c r="T40" i="1"/>
  <c r="T41" i="1"/>
  <c r="T42" i="1"/>
  <c r="T43" i="1"/>
  <c r="T44" i="1"/>
  <c r="T45" i="1"/>
  <c r="T46" i="1"/>
  <c r="T47" i="1"/>
  <c r="T48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B9" i="1"/>
  <c r="B10" i="1" s="1"/>
  <c r="B11" i="1" s="1"/>
  <c r="B8" i="1"/>
  <c r="U19" i="1"/>
  <c r="T19" i="1" l="1"/>
  <c r="T20" i="1"/>
</calcChain>
</file>

<file path=xl/sharedStrings.xml><?xml version="1.0" encoding="utf-8"?>
<sst xmlns="http://schemas.openxmlformats.org/spreadsheetml/2006/main" count="95" uniqueCount="60">
  <si>
    <t>Position Sizing Calculator</t>
  </si>
  <si>
    <t>Colour Codes</t>
  </si>
  <si>
    <t>Capital</t>
  </si>
  <si>
    <t>Red</t>
  </si>
  <si>
    <t>Your Input</t>
  </si>
  <si>
    <t>Entry Price</t>
  </si>
  <si>
    <t>Orange</t>
  </si>
  <si>
    <t>Constants</t>
  </si>
  <si>
    <t>Stop Loss</t>
  </si>
  <si>
    <t>Green</t>
  </si>
  <si>
    <t>Automatically filled</t>
  </si>
  <si>
    <t>% Risk of Capital</t>
  </si>
  <si>
    <t>No: of Trades</t>
  </si>
  <si>
    <t>%SL in Trade</t>
  </si>
  <si>
    <t>Max Qty</t>
  </si>
  <si>
    <t>Ideal Capital</t>
  </si>
  <si>
    <t>Ideal Qty to Buy</t>
  </si>
  <si>
    <t>Swing Trading System</t>
  </si>
  <si>
    <t>Market Trend</t>
  </si>
  <si>
    <t>Stock</t>
  </si>
  <si>
    <t>Fundamental Checks</t>
  </si>
  <si>
    <t>Technical Check</t>
  </si>
  <si>
    <t>Risk Management</t>
  </si>
  <si>
    <t>Results</t>
  </si>
  <si>
    <t>Red Flag</t>
  </si>
  <si>
    <t>Entry Point</t>
  </si>
  <si>
    <t>Promoter Holding</t>
  </si>
  <si>
    <t>Institutional Holdings</t>
  </si>
  <si>
    <t>Avg Volume</t>
  </si>
  <si>
    <t>MACD Crossover</t>
  </si>
  <si>
    <t>EMA Crossover</t>
  </si>
  <si>
    <t>Price is now</t>
  </si>
  <si>
    <t>Bullish Reversal</t>
  </si>
  <si>
    <t>Entry Date</t>
  </si>
  <si>
    <t>Entry</t>
  </si>
  <si>
    <t>Target</t>
  </si>
  <si>
    <t>Quantity</t>
  </si>
  <si>
    <t>Confidence</t>
  </si>
  <si>
    <t>Exit Price</t>
  </si>
  <si>
    <t>Exit Date</t>
  </si>
  <si>
    <t>P&amp;L</t>
  </si>
  <si>
    <t>P&amp;L%</t>
  </si>
  <si>
    <t>Mistakes &amp; Comments</t>
  </si>
  <si>
    <t>Up</t>
  </si>
  <si>
    <t>TATASTEEL</t>
  </si>
  <si>
    <t>No</t>
  </si>
  <si>
    <t>Good</t>
  </si>
  <si>
    <t>Yes</t>
  </si>
  <si>
    <t>Near support</t>
  </si>
  <si>
    <t>High</t>
  </si>
  <si>
    <t>This was an entry during class</t>
  </si>
  <si>
    <t>Down</t>
  </si>
  <si>
    <t>HINDALCO</t>
  </si>
  <si>
    <t>Near Resistance</t>
  </si>
  <si>
    <t>Medium</t>
  </si>
  <si>
    <t>GAIL</t>
  </si>
  <si>
    <t>Bad</t>
  </si>
  <si>
    <t>SCI</t>
  </si>
  <si>
    <t>Avg</t>
  </si>
  <si>
    <t>Took more time to hit the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</si>
</sst>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rgb="FF00FF00"/>
      </patternFill>
    </fill>
    <fill>
      <patternFill patternType="solid">
        <fgColor rgb="FFFFC000"/>
        <bgColor rgb="FF4A86E8"/>
      </patternFill>
    </fill>
    <fill>
      <patternFill patternType="solid">
        <fgColor rgb="FF92D050"/>
        <bgColor rgb="FFFF00FF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0" fillId="8" borderId="1" xfId="0" applyFill="1" applyBorder="1"/>
    <xf numFmtId="0" fontId="0" fillId="7" borderId="1" xfId="0" applyFill="1" applyBorder="1"/>
    <xf numFmtId="0" fontId="0" fillId="5" borderId="1" xfId="0" applyFill="1" applyBorder="1"/>
    <xf numFmtId="9" fontId="0" fillId="5" borderId="1" xfId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/>
    <xf numFmtId="2" fontId="0" fillId="0" borderId="1" xfId="1" applyNumberFormat="1" applyFont="1" applyBorder="1" applyAlignment="1">
      <alignment horizontal="center" vertical="center"/>
    </xf>
    <xf numFmtId="0" fontId="6" fillId="2" borderId="1" xfId="2" applyFont="1" applyFill="1" applyBorder="1"/>
    <xf numFmtId="0" fontId="6" fillId="0" borderId="1" xfId="2" applyFont="1" applyBorder="1"/>
    <xf numFmtId="0" fontId="7" fillId="3" borderId="1" xfId="2" applyFont="1" applyFill="1" applyBorder="1"/>
    <xf numFmtId="0" fontId="7" fillId="0" borderId="1" xfId="2" applyFont="1" applyBorder="1"/>
    <xf numFmtId="0" fontId="6" fillId="4" borderId="1" xfId="2" applyFont="1" applyFill="1" applyBorder="1"/>
    <xf numFmtId="2" fontId="0" fillId="5" borderId="1" xfId="0" applyNumberFormat="1" applyFill="1" applyBorder="1"/>
    <xf numFmtId="0" fontId="3" fillId="0" borderId="5" xfId="0" applyFont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0" fillId="12" borderId="1" xfId="2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19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2049" name="AutoShape 1" descr="https://centerpointsecurities.com/wp-content/uploads/2022/08/Bullish-Candlestick-Patterns-Cheat-Sheet-1024x479.png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152400</xdr:colOff>
      <xdr:row>2</xdr:row>
      <xdr:rowOff>91440</xdr:rowOff>
    </xdr:from>
    <xdr:to>
      <xdr:col>19</xdr:col>
      <xdr:colOff>342900</xdr:colOff>
      <xdr:row>21</xdr:row>
      <xdr:rowOff>112395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457200"/>
          <a:ext cx="6286500" cy="34956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365760</xdr:colOff>
      <xdr:row>22</xdr:row>
      <xdr:rowOff>74528</xdr:rowOff>
    </xdr:from>
    <xdr:to>
      <xdr:col>10</xdr:col>
      <xdr:colOff>144571</xdr:colOff>
      <xdr:row>54</xdr:row>
      <xdr:rowOff>135256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4055978"/>
          <a:ext cx="5874811" cy="58519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365760</xdr:colOff>
      <xdr:row>2</xdr:row>
      <xdr:rowOff>83820</xdr:rowOff>
    </xdr:from>
    <xdr:to>
      <xdr:col>9</xdr:col>
      <xdr:colOff>0</xdr:colOff>
      <xdr:row>21</xdr:row>
      <xdr:rowOff>129539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449580"/>
          <a:ext cx="5120640" cy="352043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342900</xdr:colOff>
      <xdr:row>22</xdr:row>
      <xdr:rowOff>110090</xdr:rowOff>
    </xdr:from>
    <xdr:to>
      <xdr:col>21</xdr:col>
      <xdr:colOff>447104</xdr:colOff>
      <xdr:row>40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4133450"/>
          <a:ext cx="6809804" cy="334177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workbookViewId="0">
      <pane xSplit="2" topLeftCell="G19" activePane="topRight" state="frozen"/>
      <selection pane="topRight" activeCell="U19" sqref="U19:U49"/>
    </sheetView>
  </sheetViews>
  <sheetFormatPr defaultRowHeight="14.45"/>
  <cols>
    <col min="1" max="1" width="15.140625" bestFit="1" customWidth="1"/>
    <col min="2" max="2" width="10.42578125" bestFit="1" customWidth="1"/>
    <col min="3" max="3" width="8.42578125" bestFit="1" customWidth="1"/>
    <col min="4" max="4" width="10.7109375" bestFit="1" customWidth="1"/>
    <col min="5" max="5" width="16.7109375" bestFit="1" customWidth="1"/>
    <col min="6" max="6" width="20" customWidth="1"/>
    <col min="7" max="7" width="11.5703125" bestFit="1" customWidth="1"/>
    <col min="8" max="8" width="15.7109375" bestFit="1" customWidth="1"/>
    <col min="9" max="9" width="14.28515625" bestFit="1" customWidth="1"/>
    <col min="10" max="11" width="14.85546875" bestFit="1" customWidth="1"/>
    <col min="12" max="12" width="10.85546875" bestFit="1" customWidth="1"/>
    <col min="14" max="14" width="5.5703125" bestFit="1" customWidth="1"/>
    <col min="15" max="15" width="6.5703125" bestFit="1" customWidth="1"/>
    <col min="16" max="16" width="8.7109375" bestFit="1" customWidth="1"/>
    <col min="17" max="17" width="10.85546875" bestFit="1" customWidth="1"/>
    <col min="18" max="18" width="9" bestFit="1" customWidth="1"/>
    <col min="19" max="19" width="10.85546875" bestFit="1" customWidth="1"/>
    <col min="20" max="20" width="7.42578125" bestFit="1" customWidth="1"/>
    <col min="21" max="21" width="6" bestFit="1" customWidth="1"/>
    <col min="22" max="22" width="29.5703125" bestFit="1" customWidth="1"/>
  </cols>
  <sheetData>
    <row r="1" spans="1:22">
      <c r="A1" s="18" t="s">
        <v>0</v>
      </c>
      <c r="B1" s="19"/>
      <c r="D1" s="20" t="s">
        <v>1</v>
      </c>
      <c r="E1" s="20"/>
    </row>
    <row r="2" spans="1:22">
      <c r="A2" s="19"/>
      <c r="B2" s="19"/>
      <c r="D2" s="20"/>
      <c r="E2" s="20"/>
    </row>
    <row r="3" spans="1:22">
      <c r="A3" s="1" t="s">
        <v>2</v>
      </c>
      <c r="B3" s="1">
        <v>25000</v>
      </c>
      <c r="D3" s="11" t="s">
        <v>3</v>
      </c>
      <c r="E3" s="12" t="s">
        <v>4</v>
      </c>
    </row>
    <row r="4" spans="1:22">
      <c r="A4" s="1" t="s">
        <v>5</v>
      </c>
      <c r="B4" s="1">
        <v>188</v>
      </c>
      <c r="D4" s="13" t="s">
        <v>6</v>
      </c>
      <c r="E4" s="14" t="s">
        <v>7</v>
      </c>
    </row>
    <row r="5" spans="1:22">
      <c r="A5" s="1" t="s">
        <v>8</v>
      </c>
      <c r="B5" s="1">
        <v>161</v>
      </c>
      <c r="D5" s="15" t="s">
        <v>9</v>
      </c>
      <c r="E5" s="14" t="s">
        <v>10</v>
      </c>
    </row>
    <row r="6" spans="1:22">
      <c r="A6" s="2" t="s">
        <v>11</v>
      </c>
      <c r="B6" s="2">
        <v>2</v>
      </c>
    </row>
    <row r="7" spans="1:22">
      <c r="A7" s="2" t="s">
        <v>12</v>
      </c>
      <c r="B7" s="2">
        <v>5</v>
      </c>
    </row>
    <row r="8" spans="1:22">
      <c r="A8" s="3" t="s">
        <v>13</v>
      </c>
      <c r="B8" s="4">
        <f>IFERROR((B4-B5)/B4,"")</f>
        <v>0.14361702127659576</v>
      </c>
    </row>
    <row r="9" spans="1:22">
      <c r="A9" s="3" t="s">
        <v>14</v>
      </c>
      <c r="B9" s="16">
        <f>IFERROR(B3*B6%/(B4-B5),"")</f>
        <v>18.518518518518519</v>
      </c>
    </row>
    <row r="10" spans="1:22">
      <c r="A10" s="3" t="s">
        <v>15</v>
      </c>
      <c r="B10" s="3">
        <f>IFERROR(MIN(B3/B7,B9*B4),"")</f>
        <v>3481.4814814814818</v>
      </c>
    </row>
    <row r="11" spans="1:22">
      <c r="A11" s="3" t="s">
        <v>16</v>
      </c>
      <c r="B11" s="16">
        <f>IFERROR(B10/B4,"")</f>
        <v>18.518518518518519</v>
      </c>
    </row>
    <row r="14" spans="1:22">
      <c r="A14" s="21" t="s">
        <v>17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>
      <c r="A17" s="22" t="s">
        <v>18</v>
      </c>
      <c r="B17" s="23" t="s">
        <v>19</v>
      </c>
      <c r="C17" s="24" t="s">
        <v>20</v>
      </c>
      <c r="D17" s="24"/>
      <c r="E17" s="24"/>
      <c r="F17" s="24"/>
      <c r="G17" s="27" t="s">
        <v>21</v>
      </c>
      <c r="H17" s="28"/>
      <c r="I17" s="28"/>
      <c r="J17" s="28"/>
      <c r="K17" s="29"/>
      <c r="L17" s="25" t="s">
        <v>22</v>
      </c>
      <c r="M17" s="25"/>
      <c r="N17" s="25"/>
      <c r="O17" s="25"/>
      <c r="P17" s="25"/>
      <c r="Q17" s="26" t="s">
        <v>23</v>
      </c>
      <c r="R17" s="26"/>
      <c r="S17" s="26"/>
      <c r="T17" s="26"/>
      <c r="U17" s="26"/>
      <c r="V17" s="26"/>
    </row>
    <row r="18" spans="1:22">
      <c r="A18" s="22"/>
      <c r="B18" s="23"/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  <c r="I18" s="6" t="s">
        <v>30</v>
      </c>
      <c r="J18" s="6" t="s">
        <v>31</v>
      </c>
      <c r="K18" s="6" t="s">
        <v>32</v>
      </c>
      <c r="L18" s="6" t="s">
        <v>33</v>
      </c>
      <c r="M18" s="6" t="s">
        <v>8</v>
      </c>
      <c r="N18" s="6" t="s">
        <v>34</v>
      </c>
      <c r="O18" s="6" t="s">
        <v>35</v>
      </c>
      <c r="P18" s="6" t="s">
        <v>36</v>
      </c>
      <c r="Q18" s="6" t="s">
        <v>37</v>
      </c>
      <c r="R18" s="6" t="s">
        <v>38</v>
      </c>
      <c r="S18" s="6" t="s">
        <v>39</v>
      </c>
      <c r="T18" s="6" t="s">
        <v>40</v>
      </c>
      <c r="U18" s="6" t="s">
        <v>41</v>
      </c>
      <c r="V18" s="17" t="s">
        <v>42</v>
      </c>
    </row>
    <row r="19" spans="1:22">
      <c r="A19" s="8" t="s">
        <v>43</v>
      </c>
      <c r="B19" s="5" t="s">
        <v>44</v>
      </c>
      <c r="C19" s="5" t="s">
        <v>45</v>
      </c>
      <c r="D19" s="5" t="s">
        <v>46</v>
      </c>
      <c r="E19" s="5" t="s">
        <v>46</v>
      </c>
      <c r="F19" s="5" t="s">
        <v>46</v>
      </c>
      <c r="G19" s="5" t="s">
        <v>46</v>
      </c>
      <c r="H19" s="5" t="s">
        <v>47</v>
      </c>
      <c r="I19" s="5" t="s">
        <v>47</v>
      </c>
      <c r="J19" s="5" t="s">
        <v>48</v>
      </c>
      <c r="K19" s="5" t="s">
        <v>47</v>
      </c>
      <c r="L19" s="9">
        <v>45722</v>
      </c>
      <c r="M19" s="5">
        <v>140</v>
      </c>
      <c r="N19" s="5">
        <v>150</v>
      </c>
      <c r="O19" s="5">
        <v>170</v>
      </c>
      <c r="P19" s="5">
        <v>33</v>
      </c>
      <c r="Q19" s="5" t="s">
        <v>49</v>
      </c>
      <c r="R19" s="5">
        <v>140</v>
      </c>
      <c r="S19" s="9">
        <v>45748</v>
      </c>
      <c r="T19" s="10">
        <f>IF(ISBLANK(R19)," ",((R19*P19)-(N19*P19)))</f>
        <v>-330</v>
      </c>
      <c r="U19" s="7">
        <f>IF(ISBLANK(R19)," ",((R19-N19)/N19))</f>
        <v>-6.6666666666666666E-2</v>
      </c>
      <c r="V19" s="5" t="s">
        <v>50</v>
      </c>
    </row>
    <row r="20" spans="1:22">
      <c r="A20" s="8" t="s">
        <v>51</v>
      </c>
      <c r="B20" s="5" t="s">
        <v>52</v>
      </c>
      <c r="C20" s="5" t="s">
        <v>45</v>
      </c>
      <c r="D20" s="5" t="s">
        <v>46</v>
      </c>
      <c r="E20" s="5" t="s">
        <v>46</v>
      </c>
      <c r="F20" s="5" t="s">
        <v>46</v>
      </c>
      <c r="G20" s="5" t="s">
        <v>46</v>
      </c>
      <c r="H20" s="5" t="s">
        <v>47</v>
      </c>
      <c r="I20" s="5" t="s">
        <v>45</v>
      </c>
      <c r="J20" s="5" t="s">
        <v>53</v>
      </c>
      <c r="K20" s="5" t="s">
        <v>47</v>
      </c>
      <c r="L20" s="9">
        <v>45723</v>
      </c>
      <c r="M20" s="5">
        <v>650</v>
      </c>
      <c r="N20" s="5">
        <v>702</v>
      </c>
      <c r="O20" s="5">
        <v>800</v>
      </c>
      <c r="P20" s="5">
        <v>7</v>
      </c>
      <c r="Q20" s="5" t="s">
        <v>54</v>
      </c>
      <c r="R20" s="5">
        <v>650</v>
      </c>
      <c r="S20" s="9">
        <v>45748</v>
      </c>
      <c r="T20" s="10">
        <f>IF(ISBLANK(R20)," ",((R20*P20)-(N20*P20)))</f>
        <v>-364</v>
      </c>
      <c r="U20" s="7">
        <f t="shared" ref="U20:U49" si="0">IF(ISBLANK(R20)," ",((R20-N20)/N20))</f>
        <v>-7.407407407407407E-2</v>
      </c>
      <c r="V20" s="5" t="s">
        <v>50</v>
      </c>
    </row>
    <row r="21" spans="1:22">
      <c r="A21" s="8" t="s">
        <v>43</v>
      </c>
      <c r="B21" s="5" t="s">
        <v>55</v>
      </c>
      <c r="C21" s="5" t="s">
        <v>45</v>
      </c>
      <c r="D21" s="5" t="s">
        <v>46</v>
      </c>
      <c r="E21" s="5" t="s">
        <v>46</v>
      </c>
      <c r="F21" s="5" t="s">
        <v>56</v>
      </c>
      <c r="G21" s="5" t="s">
        <v>46</v>
      </c>
      <c r="H21" s="5" t="s">
        <v>47</v>
      </c>
      <c r="I21" s="5" t="s">
        <v>47</v>
      </c>
      <c r="J21" s="5" t="s">
        <v>48</v>
      </c>
      <c r="K21" s="5" t="s">
        <v>47</v>
      </c>
      <c r="L21" s="9">
        <v>45723</v>
      </c>
      <c r="M21" s="5">
        <v>158</v>
      </c>
      <c r="N21" s="5">
        <v>173</v>
      </c>
      <c r="O21" s="5">
        <v>203</v>
      </c>
      <c r="P21" s="5">
        <v>28</v>
      </c>
      <c r="Q21" s="5" t="s">
        <v>49</v>
      </c>
      <c r="R21" s="5"/>
      <c r="S21" s="5"/>
      <c r="T21" s="10" t="str">
        <f t="shared" ref="T21:T48" si="1">IF(ISBLANK(R21)," ",((R21*P21)-(N21*P21)))</f>
        <v xml:space="preserve"> </v>
      </c>
      <c r="U21" s="7" t="str">
        <f t="shared" si="0"/>
        <v xml:space="preserve"> </v>
      </c>
      <c r="V21" s="5"/>
    </row>
    <row r="22" spans="1:22">
      <c r="A22" s="8" t="s">
        <v>43</v>
      </c>
      <c r="B22" s="5" t="s">
        <v>57</v>
      </c>
      <c r="C22" s="5" t="s">
        <v>45</v>
      </c>
      <c r="D22" s="5" t="s">
        <v>46</v>
      </c>
      <c r="E22" s="5" t="s">
        <v>46</v>
      </c>
      <c r="F22" s="5" t="s">
        <v>58</v>
      </c>
      <c r="G22" s="5" t="s">
        <v>46</v>
      </c>
      <c r="H22" s="5" t="s">
        <v>47</v>
      </c>
      <c r="I22" s="5" t="s">
        <v>45</v>
      </c>
      <c r="J22" s="5" t="s">
        <v>48</v>
      </c>
      <c r="K22" s="5" t="s">
        <v>47</v>
      </c>
      <c r="L22" s="9">
        <v>45793</v>
      </c>
      <c r="M22" s="5">
        <v>161</v>
      </c>
      <c r="N22" s="5">
        <v>188</v>
      </c>
      <c r="O22" s="5">
        <v>214</v>
      </c>
      <c r="P22" s="5">
        <v>18</v>
      </c>
      <c r="Q22" s="5" t="s">
        <v>49</v>
      </c>
      <c r="R22" s="5">
        <v>214</v>
      </c>
      <c r="S22" s="9">
        <v>45810</v>
      </c>
      <c r="T22" s="10">
        <f t="shared" si="1"/>
        <v>468</v>
      </c>
      <c r="U22" s="7">
        <f t="shared" si="0"/>
        <v>0.13829787234042554</v>
      </c>
      <c r="V22" s="5" t="s">
        <v>59</v>
      </c>
    </row>
    <row r="23" spans="1:22">
      <c r="A23" s="8"/>
      <c r="B23" s="5"/>
      <c r="C23" s="5"/>
      <c r="D23" s="5"/>
      <c r="E23" s="5"/>
      <c r="F23" s="5"/>
      <c r="G23" s="5"/>
      <c r="H23" s="5"/>
      <c r="I23" s="5"/>
      <c r="J23" s="5"/>
      <c r="K23" s="5"/>
      <c r="L23" s="9"/>
      <c r="M23" s="5"/>
      <c r="N23" s="5"/>
      <c r="O23" s="5"/>
      <c r="P23" s="5"/>
      <c r="Q23" s="5"/>
      <c r="R23" s="5"/>
      <c r="S23" s="5"/>
      <c r="T23" s="10" t="str">
        <f t="shared" si="1"/>
        <v xml:space="preserve"> </v>
      </c>
      <c r="U23" s="7" t="str">
        <f t="shared" si="0"/>
        <v xml:space="preserve"> </v>
      </c>
      <c r="V23" s="5"/>
    </row>
    <row r="24" spans="1:22">
      <c r="A24" s="8"/>
      <c r="B24" s="5"/>
      <c r="C24" s="5"/>
      <c r="D24" s="5"/>
      <c r="E24" s="5"/>
      <c r="F24" s="5"/>
      <c r="G24" s="5"/>
      <c r="H24" s="5"/>
      <c r="I24" s="5"/>
      <c r="J24" s="5"/>
      <c r="K24" s="5"/>
      <c r="L24" s="9"/>
      <c r="M24" s="5"/>
      <c r="N24" s="5"/>
      <c r="O24" s="5"/>
      <c r="P24" s="5"/>
      <c r="Q24" s="5"/>
      <c r="R24" s="5"/>
      <c r="S24" s="5"/>
      <c r="T24" s="10" t="str">
        <f t="shared" si="1"/>
        <v xml:space="preserve"> </v>
      </c>
      <c r="U24" s="7" t="str">
        <f t="shared" si="0"/>
        <v xml:space="preserve"> </v>
      </c>
      <c r="V24" s="5"/>
    </row>
    <row r="25" spans="1:22">
      <c r="A25" s="8"/>
      <c r="B25" s="5"/>
      <c r="C25" s="5"/>
      <c r="D25" s="5"/>
      <c r="E25" s="5"/>
      <c r="F25" s="5"/>
      <c r="G25" s="5"/>
      <c r="H25" s="5"/>
      <c r="I25" s="5"/>
      <c r="J25" s="5"/>
      <c r="K25" s="5"/>
      <c r="L25" s="9"/>
      <c r="M25" s="5"/>
      <c r="N25" s="5"/>
      <c r="O25" s="5"/>
      <c r="P25" s="5"/>
      <c r="Q25" s="5"/>
      <c r="R25" s="5"/>
      <c r="S25" s="5"/>
      <c r="T25" s="10" t="str">
        <f t="shared" si="1"/>
        <v xml:space="preserve"> </v>
      </c>
      <c r="U25" s="7" t="str">
        <f t="shared" si="0"/>
        <v xml:space="preserve"> </v>
      </c>
      <c r="V25" s="5"/>
    </row>
    <row r="26" spans="1:22">
      <c r="A26" s="8"/>
      <c r="B26" s="5"/>
      <c r="C26" s="5"/>
      <c r="D26" s="5"/>
      <c r="E26" s="5"/>
      <c r="F26" s="5"/>
      <c r="G26" s="5"/>
      <c r="H26" s="5"/>
      <c r="I26" s="5"/>
      <c r="J26" s="5"/>
      <c r="K26" s="5"/>
      <c r="L26" s="9"/>
      <c r="M26" s="5"/>
      <c r="N26" s="5"/>
      <c r="O26" s="5"/>
      <c r="P26" s="5"/>
      <c r="Q26" s="5"/>
      <c r="R26" s="5"/>
      <c r="S26" s="5"/>
      <c r="T26" s="10" t="str">
        <f t="shared" si="1"/>
        <v xml:space="preserve"> </v>
      </c>
      <c r="U26" s="7" t="str">
        <f t="shared" si="0"/>
        <v xml:space="preserve"> </v>
      </c>
      <c r="V26" s="5"/>
    </row>
    <row r="27" spans="1:22">
      <c r="A27" s="8"/>
      <c r="B27" s="5"/>
      <c r="C27" s="5"/>
      <c r="D27" s="5"/>
      <c r="E27" s="5"/>
      <c r="F27" s="5"/>
      <c r="G27" s="5"/>
      <c r="H27" s="5"/>
      <c r="I27" s="5"/>
      <c r="J27" s="5"/>
      <c r="K27" s="5"/>
      <c r="L27" s="9"/>
      <c r="M27" s="5"/>
      <c r="N27" s="5"/>
      <c r="O27" s="5"/>
      <c r="P27" s="5"/>
      <c r="Q27" s="5"/>
      <c r="R27" s="5"/>
      <c r="S27" s="5"/>
      <c r="T27" s="10" t="str">
        <f t="shared" si="1"/>
        <v xml:space="preserve"> </v>
      </c>
      <c r="U27" s="7" t="str">
        <f t="shared" si="0"/>
        <v xml:space="preserve"> </v>
      </c>
      <c r="V27" s="5"/>
    </row>
    <row r="28" spans="1:22">
      <c r="A28" s="8"/>
      <c r="B28" s="5"/>
      <c r="C28" s="5"/>
      <c r="D28" s="5"/>
      <c r="E28" s="5"/>
      <c r="F28" s="5"/>
      <c r="G28" s="5"/>
      <c r="H28" s="5"/>
      <c r="I28" s="5"/>
      <c r="J28" s="5"/>
      <c r="K28" s="5"/>
      <c r="L28" s="9"/>
      <c r="M28" s="5"/>
      <c r="N28" s="5"/>
      <c r="O28" s="5"/>
      <c r="P28" s="5"/>
      <c r="Q28" s="5"/>
      <c r="R28" s="5"/>
      <c r="S28" s="5"/>
      <c r="T28" s="10" t="str">
        <f t="shared" si="1"/>
        <v xml:space="preserve"> </v>
      </c>
      <c r="U28" s="7" t="str">
        <f t="shared" si="0"/>
        <v xml:space="preserve"> </v>
      </c>
      <c r="V28" s="5"/>
    </row>
    <row r="29" spans="1:22">
      <c r="A29" s="8"/>
      <c r="B29" s="5"/>
      <c r="C29" s="5"/>
      <c r="D29" s="5"/>
      <c r="E29" s="5"/>
      <c r="F29" s="5"/>
      <c r="G29" s="5"/>
      <c r="H29" s="5"/>
      <c r="I29" s="5"/>
      <c r="J29" s="5"/>
      <c r="K29" s="5"/>
      <c r="L29" s="9"/>
      <c r="M29" s="5"/>
      <c r="N29" s="5"/>
      <c r="O29" s="5"/>
      <c r="P29" s="5"/>
      <c r="Q29" s="5"/>
      <c r="R29" s="5"/>
      <c r="S29" s="5"/>
      <c r="T29" s="10" t="str">
        <f t="shared" si="1"/>
        <v xml:space="preserve"> </v>
      </c>
      <c r="U29" s="7" t="str">
        <f t="shared" si="0"/>
        <v xml:space="preserve"> </v>
      </c>
      <c r="V29" s="5"/>
    </row>
    <row r="30" spans="1:22">
      <c r="A30" s="8"/>
      <c r="B30" s="5"/>
      <c r="C30" s="5"/>
      <c r="D30" s="5"/>
      <c r="E30" s="5"/>
      <c r="F30" s="5"/>
      <c r="G30" s="5"/>
      <c r="H30" s="5"/>
      <c r="I30" s="5"/>
      <c r="J30" s="5"/>
      <c r="K30" s="5"/>
      <c r="L30" s="9"/>
      <c r="M30" s="5"/>
      <c r="N30" s="5"/>
      <c r="O30" s="5"/>
      <c r="P30" s="5"/>
      <c r="Q30" s="5"/>
      <c r="R30" s="5"/>
      <c r="S30" s="5"/>
      <c r="T30" s="10" t="str">
        <f t="shared" si="1"/>
        <v xml:space="preserve"> </v>
      </c>
      <c r="U30" s="7" t="str">
        <f t="shared" si="0"/>
        <v xml:space="preserve"> </v>
      </c>
      <c r="V30" s="5"/>
    </row>
    <row r="31" spans="1:22">
      <c r="A31" s="8"/>
      <c r="B31" s="5"/>
      <c r="C31" s="5"/>
      <c r="D31" s="5"/>
      <c r="E31" s="5"/>
      <c r="F31" s="5"/>
      <c r="G31" s="5"/>
      <c r="H31" s="5"/>
      <c r="I31" s="5"/>
      <c r="J31" s="5"/>
      <c r="K31" s="5"/>
      <c r="L31" s="9"/>
      <c r="M31" s="5"/>
      <c r="N31" s="5"/>
      <c r="O31" s="5"/>
      <c r="P31" s="5"/>
      <c r="Q31" s="5"/>
      <c r="R31" s="5"/>
      <c r="S31" s="5"/>
      <c r="T31" s="10" t="str">
        <f t="shared" si="1"/>
        <v xml:space="preserve"> </v>
      </c>
      <c r="U31" s="7" t="str">
        <f t="shared" si="0"/>
        <v xml:space="preserve"> </v>
      </c>
      <c r="V31" s="5"/>
    </row>
    <row r="32" spans="1:22">
      <c r="A32" s="8"/>
      <c r="B32" s="5"/>
      <c r="C32" s="5"/>
      <c r="D32" s="5"/>
      <c r="E32" s="5"/>
      <c r="F32" s="5"/>
      <c r="G32" s="5"/>
      <c r="H32" s="5"/>
      <c r="I32" s="5"/>
      <c r="J32" s="5"/>
      <c r="K32" s="5"/>
      <c r="L32" s="9"/>
      <c r="M32" s="5"/>
      <c r="N32" s="5"/>
      <c r="O32" s="5"/>
      <c r="P32" s="5"/>
      <c r="Q32" s="5"/>
      <c r="R32" s="5"/>
      <c r="S32" s="5"/>
      <c r="T32" s="10" t="str">
        <f t="shared" si="1"/>
        <v xml:space="preserve"> </v>
      </c>
      <c r="U32" s="7" t="str">
        <f t="shared" si="0"/>
        <v xml:space="preserve"> </v>
      </c>
      <c r="V32" s="5"/>
    </row>
    <row r="33" spans="1:22">
      <c r="A33" s="8"/>
      <c r="B33" s="5"/>
      <c r="C33" s="5"/>
      <c r="D33" s="5"/>
      <c r="E33" s="5"/>
      <c r="F33" s="5"/>
      <c r="G33" s="5"/>
      <c r="H33" s="5"/>
      <c r="I33" s="5"/>
      <c r="J33" s="5"/>
      <c r="K33" s="5"/>
      <c r="L33" s="9"/>
      <c r="M33" s="5"/>
      <c r="N33" s="5"/>
      <c r="O33" s="5"/>
      <c r="P33" s="5"/>
      <c r="Q33" s="5"/>
      <c r="R33" s="5"/>
      <c r="S33" s="5"/>
      <c r="T33" s="10" t="str">
        <f t="shared" si="1"/>
        <v xml:space="preserve"> </v>
      </c>
      <c r="U33" s="7" t="str">
        <f t="shared" si="0"/>
        <v xml:space="preserve"> </v>
      </c>
      <c r="V33" s="5"/>
    </row>
    <row r="34" spans="1:22">
      <c r="A34" s="8"/>
      <c r="B34" s="5"/>
      <c r="C34" s="5"/>
      <c r="D34" s="5"/>
      <c r="E34" s="5"/>
      <c r="F34" s="5"/>
      <c r="G34" s="5"/>
      <c r="H34" s="5"/>
      <c r="I34" s="5"/>
      <c r="J34" s="5"/>
      <c r="K34" s="5"/>
      <c r="L34" s="9"/>
      <c r="M34" s="5"/>
      <c r="N34" s="5"/>
      <c r="O34" s="5"/>
      <c r="P34" s="5"/>
      <c r="Q34" s="5"/>
      <c r="R34" s="5"/>
      <c r="S34" s="5"/>
      <c r="T34" s="10" t="str">
        <f t="shared" si="1"/>
        <v xml:space="preserve"> </v>
      </c>
      <c r="U34" s="7" t="str">
        <f t="shared" si="0"/>
        <v xml:space="preserve"> </v>
      </c>
      <c r="V34" s="5"/>
    </row>
    <row r="35" spans="1:22">
      <c r="A35" s="8"/>
      <c r="B35" s="5"/>
      <c r="C35" s="5"/>
      <c r="D35" s="5"/>
      <c r="E35" s="5"/>
      <c r="F35" s="5"/>
      <c r="G35" s="5"/>
      <c r="H35" s="5"/>
      <c r="I35" s="5"/>
      <c r="J35" s="5"/>
      <c r="K35" s="5"/>
      <c r="L35" s="9"/>
      <c r="M35" s="5"/>
      <c r="N35" s="5"/>
      <c r="O35" s="5"/>
      <c r="P35" s="5"/>
      <c r="Q35" s="5"/>
      <c r="R35" s="5"/>
      <c r="S35" s="5"/>
      <c r="T35" s="10" t="str">
        <f t="shared" si="1"/>
        <v xml:space="preserve"> </v>
      </c>
      <c r="U35" s="7" t="str">
        <f t="shared" si="0"/>
        <v xml:space="preserve"> </v>
      </c>
      <c r="V35" s="5"/>
    </row>
    <row r="36" spans="1:22">
      <c r="A36" s="8"/>
      <c r="B36" s="5"/>
      <c r="C36" s="5"/>
      <c r="D36" s="5"/>
      <c r="E36" s="5"/>
      <c r="F36" s="5"/>
      <c r="G36" s="5"/>
      <c r="H36" s="5"/>
      <c r="I36" s="5"/>
      <c r="J36" s="5"/>
      <c r="K36" s="5"/>
      <c r="L36" s="9"/>
      <c r="M36" s="5"/>
      <c r="N36" s="5"/>
      <c r="O36" s="5"/>
      <c r="P36" s="5"/>
      <c r="Q36" s="5"/>
      <c r="R36" s="5"/>
      <c r="S36" s="5"/>
      <c r="T36" s="10" t="str">
        <f t="shared" si="1"/>
        <v xml:space="preserve"> </v>
      </c>
      <c r="U36" s="7" t="str">
        <f t="shared" si="0"/>
        <v xml:space="preserve"> </v>
      </c>
      <c r="V36" s="5"/>
    </row>
    <row r="37" spans="1:22">
      <c r="A37" s="8"/>
      <c r="B37" s="5"/>
      <c r="C37" s="5"/>
      <c r="D37" s="5"/>
      <c r="E37" s="5"/>
      <c r="F37" s="5"/>
      <c r="G37" s="5"/>
      <c r="H37" s="5"/>
      <c r="I37" s="5"/>
      <c r="J37" s="5"/>
      <c r="K37" s="5"/>
      <c r="L37" s="9"/>
      <c r="M37" s="5"/>
      <c r="N37" s="5"/>
      <c r="O37" s="5"/>
      <c r="P37" s="5"/>
      <c r="Q37" s="5"/>
      <c r="R37" s="5"/>
      <c r="S37" s="5"/>
      <c r="T37" s="10" t="str">
        <f t="shared" si="1"/>
        <v xml:space="preserve"> </v>
      </c>
      <c r="U37" s="7" t="str">
        <f t="shared" si="0"/>
        <v xml:space="preserve"> </v>
      </c>
      <c r="V37" s="5"/>
    </row>
    <row r="38" spans="1:22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9"/>
      <c r="M38" s="5"/>
      <c r="N38" s="5"/>
      <c r="O38" s="5"/>
      <c r="P38" s="5"/>
      <c r="Q38" s="5"/>
      <c r="R38" s="5"/>
      <c r="S38" s="5"/>
      <c r="T38" s="10" t="str">
        <f>IF(ISBLANK(R38)," ",((R38*P38)-(N38*P38)))</f>
        <v xml:space="preserve"> </v>
      </c>
      <c r="U38" s="7" t="str">
        <f t="shared" si="0"/>
        <v xml:space="preserve"> </v>
      </c>
      <c r="V38" s="5"/>
    </row>
    <row r="39" spans="1:22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9"/>
      <c r="M39" s="5"/>
      <c r="N39" s="5"/>
      <c r="O39" s="5"/>
      <c r="P39" s="5"/>
      <c r="Q39" s="5"/>
      <c r="R39" s="5"/>
      <c r="S39" s="5"/>
      <c r="T39" s="10" t="str">
        <f t="shared" si="1"/>
        <v xml:space="preserve"> </v>
      </c>
      <c r="U39" s="7" t="str">
        <f t="shared" si="0"/>
        <v xml:space="preserve"> </v>
      </c>
      <c r="V39" s="5"/>
    </row>
    <row r="40" spans="1:22">
      <c r="A40" s="8"/>
      <c r="B40" s="5"/>
      <c r="C40" s="5"/>
      <c r="D40" s="5"/>
      <c r="E40" s="5"/>
      <c r="F40" s="5"/>
      <c r="G40" s="5"/>
      <c r="H40" s="5"/>
      <c r="I40" s="5"/>
      <c r="J40" s="5"/>
      <c r="K40" s="5"/>
      <c r="L40" s="9"/>
      <c r="M40" s="5"/>
      <c r="N40" s="5"/>
      <c r="O40" s="5"/>
      <c r="P40" s="5"/>
      <c r="Q40" s="5"/>
      <c r="R40" s="5"/>
      <c r="S40" s="5"/>
      <c r="T40" s="10" t="str">
        <f t="shared" si="1"/>
        <v xml:space="preserve"> </v>
      </c>
      <c r="U40" s="7" t="str">
        <f t="shared" si="0"/>
        <v xml:space="preserve"> </v>
      </c>
      <c r="V40" s="5"/>
    </row>
    <row r="41" spans="1:22">
      <c r="A41" s="8"/>
      <c r="B41" s="5"/>
      <c r="C41" s="5"/>
      <c r="D41" s="5"/>
      <c r="E41" s="5"/>
      <c r="F41" s="5"/>
      <c r="G41" s="5"/>
      <c r="H41" s="5"/>
      <c r="I41" s="5"/>
      <c r="J41" s="5"/>
      <c r="K41" s="5"/>
      <c r="L41" s="9"/>
      <c r="M41" s="5"/>
      <c r="N41" s="5"/>
      <c r="O41" s="5"/>
      <c r="P41" s="5"/>
      <c r="Q41" s="5"/>
      <c r="R41" s="5"/>
      <c r="S41" s="5"/>
      <c r="T41" s="10" t="str">
        <f t="shared" si="1"/>
        <v xml:space="preserve"> </v>
      </c>
      <c r="U41" s="7" t="str">
        <f t="shared" si="0"/>
        <v xml:space="preserve"> </v>
      </c>
      <c r="V41" s="5"/>
    </row>
    <row r="42" spans="1:22">
      <c r="A42" s="8"/>
      <c r="B42" s="5"/>
      <c r="C42" s="5"/>
      <c r="D42" s="5"/>
      <c r="E42" s="5"/>
      <c r="F42" s="5"/>
      <c r="G42" s="5"/>
      <c r="H42" s="5"/>
      <c r="I42" s="5"/>
      <c r="J42" s="5"/>
      <c r="K42" s="5"/>
      <c r="L42" s="9"/>
      <c r="M42" s="5"/>
      <c r="N42" s="5"/>
      <c r="O42" s="5"/>
      <c r="P42" s="5"/>
      <c r="Q42" s="5"/>
      <c r="R42" s="5"/>
      <c r="S42" s="5"/>
      <c r="T42" s="10" t="str">
        <f t="shared" si="1"/>
        <v xml:space="preserve"> </v>
      </c>
      <c r="U42" s="7" t="str">
        <f t="shared" si="0"/>
        <v xml:space="preserve"> </v>
      </c>
      <c r="V42" s="5"/>
    </row>
    <row r="43" spans="1:22">
      <c r="A43" s="8"/>
      <c r="B43" s="5"/>
      <c r="C43" s="5"/>
      <c r="D43" s="5"/>
      <c r="E43" s="5"/>
      <c r="F43" s="5"/>
      <c r="G43" s="5"/>
      <c r="H43" s="5"/>
      <c r="I43" s="5"/>
      <c r="J43" s="5"/>
      <c r="K43" s="5"/>
      <c r="L43" s="9"/>
      <c r="M43" s="5"/>
      <c r="N43" s="5"/>
      <c r="O43" s="5"/>
      <c r="P43" s="5"/>
      <c r="Q43" s="5"/>
      <c r="R43" s="5"/>
      <c r="S43" s="5"/>
      <c r="T43" s="10" t="str">
        <f t="shared" si="1"/>
        <v xml:space="preserve"> </v>
      </c>
      <c r="U43" s="7" t="str">
        <f t="shared" si="0"/>
        <v xml:space="preserve"> </v>
      </c>
      <c r="V43" s="5"/>
    </row>
    <row r="44" spans="1:22">
      <c r="A44" s="8"/>
      <c r="B44" s="5"/>
      <c r="C44" s="5"/>
      <c r="D44" s="5"/>
      <c r="E44" s="5"/>
      <c r="F44" s="5"/>
      <c r="G44" s="5"/>
      <c r="H44" s="5"/>
      <c r="I44" s="5"/>
      <c r="J44" s="5"/>
      <c r="K44" s="5"/>
      <c r="L44" s="9"/>
      <c r="M44" s="5"/>
      <c r="N44" s="5"/>
      <c r="O44" s="5"/>
      <c r="P44" s="5"/>
      <c r="Q44" s="5"/>
      <c r="R44" s="5"/>
      <c r="S44" s="5"/>
      <c r="T44" s="10" t="str">
        <f t="shared" si="1"/>
        <v xml:space="preserve"> </v>
      </c>
      <c r="U44" s="7" t="str">
        <f t="shared" si="0"/>
        <v xml:space="preserve"> </v>
      </c>
      <c r="V44" s="5"/>
    </row>
    <row r="45" spans="1:22">
      <c r="A45" s="8"/>
      <c r="B45" s="5"/>
      <c r="C45" s="5"/>
      <c r="D45" s="5"/>
      <c r="E45" s="5"/>
      <c r="F45" s="5"/>
      <c r="G45" s="5"/>
      <c r="H45" s="5"/>
      <c r="I45" s="5"/>
      <c r="J45" s="5"/>
      <c r="K45" s="5"/>
      <c r="L45" s="9"/>
      <c r="M45" s="5"/>
      <c r="N45" s="5"/>
      <c r="O45" s="5"/>
      <c r="P45" s="5"/>
      <c r="Q45" s="5"/>
      <c r="R45" s="5"/>
      <c r="S45" s="5"/>
      <c r="T45" s="10" t="str">
        <f t="shared" si="1"/>
        <v xml:space="preserve"> </v>
      </c>
      <c r="U45" s="7" t="str">
        <f t="shared" si="0"/>
        <v xml:space="preserve"> </v>
      </c>
      <c r="V45" s="5"/>
    </row>
    <row r="46" spans="1:22">
      <c r="A46" s="8"/>
      <c r="B46" s="5"/>
      <c r="C46" s="5"/>
      <c r="D46" s="5"/>
      <c r="E46" s="5"/>
      <c r="F46" s="5"/>
      <c r="G46" s="5"/>
      <c r="H46" s="5"/>
      <c r="I46" s="5"/>
      <c r="J46" s="5"/>
      <c r="K46" s="5"/>
      <c r="L46" s="9"/>
      <c r="M46" s="5"/>
      <c r="N46" s="5"/>
      <c r="O46" s="5"/>
      <c r="P46" s="5"/>
      <c r="Q46" s="5"/>
      <c r="R46" s="5"/>
      <c r="S46" s="5"/>
      <c r="T46" s="10" t="str">
        <f t="shared" si="1"/>
        <v xml:space="preserve"> </v>
      </c>
      <c r="U46" s="7" t="str">
        <f t="shared" si="0"/>
        <v xml:space="preserve"> </v>
      </c>
      <c r="V46" s="5"/>
    </row>
    <row r="47" spans="1:22">
      <c r="A47" s="8"/>
      <c r="B47" s="5"/>
      <c r="C47" s="5"/>
      <c r="D47" s="5"/>
      <c r="E47" s="5"/>
      <c r="F47" s="5"/>
      <c r="G47" s="5"/>
      <c r="H47" s="5"/>
      <c r="I47" s="5"/>
      <c r="J47" s="5"/>
      <c r="K47" s="5"/>
      <c r="L47" s="9"/>
      <c r="M47" s="5"/>
      <c r="N47" s="5"/>
      <c r="O47" s="5"/>
      <c r="P47" s="5"/>
      <c r="Q47" s="5"/>
      <c r="R47" s="5"/>
      <c r="S47" s="5"/>
      <c r="T47" s="10" t="str">
        <f t="shared" si="1"/>
        <v xml:space="preserve"> </v>
      </c>
      <c r="U47" s="7" t="str">
        <f t="shared" si="0"/>
        <v xml:space="preserve"> </v>
      </c>
      <c r="V47" s="5"/>
    </row>
    <row r="48" spans="1:22">
      <c r="A48" s="8"/>
      <c r="B48" s="5"/>
      <c r="C48" s="5"/>
      <c r="D48" s="5"/>
      <c r="E48" s="5"/>
      <c r="F48" s="5"/>
      <c r="G48" s="5"/>
      <c r="H48" s="5"/>
      <c r="I48" s="5"/>
      <c r="J48" s="5"/>
      <c r="K48" s="5"/>
      <c r="L48" s="9"/>
      <c r="M48" s="5"/>
      <c r="N48" s="5"/>
      <c r="O48" s="5"/>
      <c r="P48" s="5"/>
      <c r="Q48" s="5"/>
      <c r="R48" s="5"/>
      <c r="S48" s="5"/>
      <c r="T48" s="10" t="str">
        <f t="shared" si="1"/>
        <v xml:space="preserve"> </v>
      </c>
      <c r="U48" s="7" t="str">
        <f t="shared" si="0"/>
        <v xml:space="preserve"> </v>
      </c>
      <c r="V48" s="5"/>
    </row>
    <row r="49" spans="21:21" ht="15">
      <c r="U49" s="7" t="str">
        <f t="shared" si="0"/>
        <v xml:space="preserve"> </v>
      </c>
    </row>
    <row r="50" spans="21:21" ht="15"/>
    <row r="51" spans="21:21" ht="15"/>
    <row r="52" spans="21:21" ht="15"/>
  </sheetData>
  <mergeCells count="9">
    <mergeCell ref="A1:B2"/>
    <mergeCell ref="D1:E2"/>
    <mergeCell ref="A14:V16"/>
    <mergeCell ref="A17:A18"/>
    <mergeCell ref="B17:B18"/>
    <mergeCell ref="C17:F17"/>
    <mergeCell ref="L17:P17"/>
    <mergeCell ref="Q17:V17"/>
    <mergeCell ref="G17:K17"/>
  </mergeCells>
  <conditionalFormatting sqref="U19:U49">
    <cfRule type="containsBlanks" priority="3" stopIfTrue="1">
      <formula>LEN(TRIM(U19))=0</formula>
    </cfRule>
    <cfRule type="cellIs" dxfId="18" priority="30" operator="lessThan">
      <formula>0</formula>
    </cfRule>
    <cfRule type="cellIs" dxfId="17" priority="31" operator="greaterThan">
      <formula>0</formula>
    </cfRule>
  </conditionalFormatting>
  <conditionalFormatting sqref="T19:T48">
    <cfRule type="containsBlanks" priority="4" stopIfTrue="1">
      <formula>LEN(TRIM(T19))=0</formula>
    </cfRule>
    <cfRule type="cellIs" dxfId="16" priority="29" operator="greaterThan">
      <formula>0</formula>
    </cfRule>
  </conditionalFormatting>
  <conditionalFormatting sqref="T19:T48">
    <cfRule type="cellIs" dxfId="15" priority="28" operator="lessThan">
      <formula>0</formula>
    </cfRule>
  </conditionalFormatting>
  <conditionalFormatting sqref="A19:A48">
    <cfRule type="containsText" dxfId="14" priority="23" operator="containsText" text="Down">
      <formula>NOT(ISERROR(SEARCH("Down",A19)))</formula>
    </cfRule>
    <cfRule type="containsText" dxfId="13" priority="24" operator="containsText" text="Sideways">
      <formula>NOT(ISERROR(SEARCH("Sideways",A19)))</formula>
    </cfRule>
    <cfRule type="containsText" dxfId="12" priority="25" operator="containsText" text="Up">
      <formula>NOT(ISERROR(SEARCH("Up",A19)))</formula>
    </cfRule>
  </conditionalFormatting>
  <conditionalFormatting sqref="D19:G48">
    <cfRule type="containsText" dxfId="11" priority="19" operator="containsText" text="Bad">
      <formula>NOT(ISERROR(SEARCH("Bad",D19)))</formula>
    </cfRule>
    <cfRule type="containsText" dxfId="10" priority="20" operator="containsText" text="Avg">
      <formula>NOT(ISERROR(SEARCH("Avg",D19)))</formula>
    </cfRule>
    <cfRule type="containsText" dxfId="9" priority="21" operator="containsText" text="Good">
      <formula>NOT(ISERROR(SEARCH("Good",D19)))</formula>
    </cfRule>
  </conditionalFormatting>
  <conditionalFormatting sqref="C19:C48">
    <cfRule type="containsText" dxfId="8" priority="17" operator="containsText" text="No">
      <formula>NOT(ISERROR(SEARCH("No",C19)))</formula>
    </cfRule>
    <cfRule type="containsText" dxfId="7" priority="18" operator="containsText" text="Yes">
      <formula>NOT(ISERROR(SEARCH("Yes",C19)))</formula>
    </cfRule>
  </conditionalFormatting>
  <conditionalFormatting sqref="H19:K48">
    <cfRule type="containsText" dxfId="6" priority="12" operator="containsText" text="No">
      <formula>NOT(ISERROR(SEARCH("No",H19)))</formula>
    </cfRule>
    <cfRule type="containsText" dxfId="5" priority="13" operator="containsText" text="Yes">
      <formula>NOT(ISERROR(SEARCH("Yes",H19)))</formula>
    </cfRule>
  </conditionalFormatting>
  <conditionalFormatting sqref="Q19:Q48">
    <cfRule type="containsText" dxfId="4" priority="9" operator="containsText" text="Low">
      <formula>NOT(ISERROR(SEARCH("Low",Q19)))</formula>
    </cfRule>
    <cfRule type="containsText" dxfId="3" priority="10" operator="containsText" text="Medium">
      <formula>NOT(ISERROR(SEARCH("Medium",Q19)))</formula>
    </cfRule>
    <cfRule type="containsText" dxfId="2" priority="11" operator="containsText" text="High">
      <formula>NOT(ISERROR(SEARCH("High",Q19)))</formula>
    </cfRule>
  </conditionalFormatting>
  <conditionalFormatting sqref="J19:J48">
    <cfRule type="containsText" dxfId="1" priority="1" operator="containsText" text="Near Resistance">
      <formula>NOT(ISERROR(SEARCH("Near Resistance",J19)))</formula>
    </cfRule>
    <cfRule type="containsText" dxfId="0" priority="2" operator="containsText" text="Near support">
      <formula>NOT(ISERROR(SEARCH("Near support",J19)))</formula>
    </cfRule>
  </conditionalFormatting>
  <dataValidations count="14">
    <dataValidation allowBlank="1" showInputMessage="1" showErrorMessage="1" promptTitle="Trend Analysis" prompt="If market above 200 &amp; 50EMA then its on an Uptrend" sqref="A17:A20" xr:uid="{00000000-0002-0000-0000-000005000000}"/>
    <dataValidation allowBlank="1" showInputMessage="1" showErrorMessage="1" promptTitle="Stock Selection" prompt="Restrict your Stock selection to Nifty50 pr Max Nifty100 for Price action to work" sqref="B17:B20" xr:uid="{00000000-0002-0000-0000-000006000000}"/>
    <dataValidation allowBlank="1" showInputMessage="1" showErrorMessage="1" promptTitle="Fundamental Checks" prompt="Use ticketape to get necessary information on fundamentals of a stock" sqref="C17:F17" xr:uid="{00000000-0002-0000-0000-000007000000}"/>
    <dataValidation allowBlank="1" showInputMessage="1" showErrorMessage="1" promptTitle="Technical Check" prompt="3 Convolutions is required for stock to give you a proper return" sqref="G17" xr:uid="{00000000-0002-0000-0000-000008000000}"/>
    <dataValidation allowBlank="1" showInputMessage="1" showErrorMessage="1" promptTitle="Risk Management" prompt="Use Position Sizing calculator to decide how much quantities to buy" sqref="L17:P17" xr:uid="{00000000-0002-0000-0000-000009000000}"/>
    <dataValidation allowBlank="1" showInputMessage="1" showErrorMessage="1" promptTitle="Results" prompt="Hitting Stoplosses are ok as long as your position sizing is correct.  And be honest with yourself on the feedback" sqref="Q17:V17" xr:uid="{00000000-0002-0000-0000-00000A000000}"/>
    <dataValidation allowBlank="1" showInputMessage="1" showErrorMessage="1" promptTitle="Capital" prompt="Rollover/Increase your capital only once in a quater" sqref="B3" xr:uid="{00000000-0002-0000-0000-00000B000000}"/>
    <dataValidation allowBlank="1" showInputMessage="1" showErrorMessage="1" promptTitle="Entry / SL" prompt="Take the values from the chart and round it to the nearest  0.05 value" sqref="B4:B5" xr:uid="{00000000-0002-0000-0000-00000C000000}"/>
    <dataValidation type="list" allowBlank="1" showInputMessage="1" showErrorMessage="1" sqref="A19:A48" xr:uid="{00000000-0002-0000-0000-000000000000}">
      <formula1>"Up, Sideways, Down"</formula1>
    </dataValidation>
    <dataValidation type="list" allowBlank="1" showInputMessage="1" showErrorMessage="1" sqref="D19:G48" xr:uid="{00000000-0002-0000-0000-000001000000}">
      <formula1>"Good, Avg, Bad"</formula1>
    </dataValidation>
    <dataValidation type="list" allowBlank="1" showInputMessage="1" showErrorMessage="1" sqref="C19:C48 H19:I48 K19:K48" xr:uid="{00000000-0002-0000-0000-000002000000}">
      <formula1>"Yes, No"</formula1>
    </dataValidation>
    <dataValidation type="date" operator="greaterThan" allowBlank="1" showErrorMessage="1" errorTitle="Date Error" error="Input correct date" sqref="L19:L48" xr:uid="{00000000-0002-0000-0000-000003000000}">
      <formula1>45200</formula1>
    </dataValidation>
    <dataValidation type="list" allowBlank="1" showInputMessage="1" showErrorMessage="1" sqref="Q19:Q48" xr:uid="{00000000-0002-0000-0000-000004000000}">
      <formula1>"High, Medium, Low"</formula1>
    </dataValidation>
    <dataValidation type="list" allowBlank="1" showInputMessage="1" showErrorMessage="1" sqref="J19:J48" xr:uid="{00000000-0002-0000-0000-00000D000000}">
      <formula1>"Near support, Near Resistance"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6" workbookViewId="0">
      <selection activeCell="N45" sqref="N45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Swing Trading System</dc:title>
  <dc:subject/>
  <dc:creator>Jenson Jacob</dc:creator>
  <cp:keywords/>
  <dc:description/>
  <cp:lastModifiedBy/>
  <cp:revision/>
  <dcterms:created xsi:type="dcterms:W3CDTF">2023-10-27T22:15:28Z</dcterms:created>
  <dcterms:modified xsi:type="dcterms:W3CDTF">2026-04-29T13:27:49Z</dcterms:modified>
  <cp:category/>
  <cp:contentStatus/>
</cp:coreProperties>
</file>